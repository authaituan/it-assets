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9d5f0136af779a/Downloads/"/>
    </mc:Choice>
  </mc:AlternateContent>
  <xr:revisionPtr revIDLastSave="2" documentId="8_{ADDDC830-26A1-452B-BFA2-6861B21DDA51}" xr6:coauthVersionLast="47" xr6:coauthVersionMax="47" xr10:uidLastSave="{4B24732C-D584-4A58-B5F0-4A9E56FB5B46}"/>
  <bookViews>
    <workbookView xWindow="-120" yWindow="-120" windowWidth="29040" windowHeight="15840" xr2:uid="{97EFADA0-FD0A-4F5A-861F-FD4F466C0038}"/>
  </bookViews>
  <sheets>
    <sheet name="Sheet1" sheetId="1" r:id="rId1"/>
  </sheets>
  <externalReferences>
    <externalReference r:id="rId2"/>
    <externalReference r:id="rId3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40" i="1" l="1"/>
  <c r="R340" i="1"/>
  <c r="Q340" i="1"/>
  <c r="P340" i="1"/>
  <c r="L340" i="1"/>
  <c r="J340" i="1"/>
  <c r="F340" i="1"/>
  <c r="E340" i="1"/>
  <c r="S339" i="1"/>
  <c r="R339" i="1"/>
  <c r="Q339" i="1"/>
  <c r="P339" i="1"/>
  <c r="L339" i="1"/>
  <c r="J339" i="1"/>
  <c r="F339" i="1"/>
  <c r="E339" i="1"/>
  <c r="S338" i="1"/>
  <c r="R338" i="1"/>
  <c r="Q338" i="1"/>
  <c r="L338" i="1"/>
  <c r="F338" i="1"/>
  <c r="E338" i="1"/>
  <c r="S337" i="1"/>
  <c r="R337" i="1"/>
  <c r="Q337" i="1"/>
  <c r="P337" i="1"/>
  <c r="J337" i="1"/>
  <c r="F337" i="1"/>
  <c r="E337" i="1"/>
  <c r="S336" i="1"/>
  <c r="R336" i="1"/>
  <c r="Q336" i="1"/>
  <c r="F336" i="1"/>
  <c r="E336" i="1"/>
  <c r="S335" i="1"/>
  <c r="R335" i="1"/>
  <c r="Q335" i="1"/>
  <c r="L335" i="1"/>
  <c r="F335" i="1"/>
  <c r="E335" i="1"/>
  <c r="S334" i="1"/>
  <c r="R334" i="1"/>
  <c r="Q334" i="1"/>
  <c r="P334" i="1"/>
  <c r="L334" i="1"/>
  <c r="J334" i="1"/>
  <c r="F334" i="1"/>
  <c r="E334" i="1"/>
  <c r="S333" i="1"/>
  <c r="R333" i="1"/>
  <c r="Q333" i="1"/>
  <c r="P333" i="1"/>
  <c r="L333" i="1"/>
  <c r="J333" i="1"/>
  <c r="F333" i="1"/>
  <c r="E333" i="1"/>
  <c r="S332" i="1"/>
  <c r="R332" i="1"/>
  <c r="Q332" i="1"/>
  <c r="L332" i="1"/>
  <c r="F332" i="1"/>
  <c r="E332" i="1"/>
  <c r="S331" i="1"/>
  <c r="R331" i="1"/>
  <c r="Q331" i="1"/>
  <c r="P331" i="1"/>
  <c r="L331" i="1"/>
  <c r="J331" i="1"/>
  <c r="F331" i="1"/>
  <c r="E331" i="1"/>
  <c r="S330" i="1"/>
  <c r="R330" i="1"/>
  <c r="Q330" i="1"/>
  <c r="P330" i="1"/>
  <c r="L330" i="1"/>
  <c r="J330" i="1"/>
  <c r="F330" i="1"/>
  <c r="E330" i="1"/>
  <c r="S329" i="1"/>
  <c r="R329" i="1"/>
  <c r="Q329" i="1"/>
  <c r="L329" i="1"/>
  <c r="J329" i="1"/>
  <c r="F329" i="1"/>
  <c r="E329" i="1"/>
  <c r="S328" i="1"/>
  <c r="R328" i="1"/>
  <c r="Q328" i="1"/>
  <c r="L328" i="1"/>
  <c r="J328" i="1"/>
  <c r="F328" i="1"/>
  <c r="E328" i="1"/>
  <c r="S327" i="1"/>
  <c r="R327" i="1"/>
  <c r="Q327" i="1"/>
  <c r="P327" i="1"/>
  <c r="L327" i="1"/>
  <c r="J327" i="1"/>
  <c r="F327" i="1"/>
  <c r="E327" i="1"/>
  <c r="S326" i="1"/>
  <c r="R326" i="1"/>
  <c r="Q326" i="1"/>
  <c r="P326" i="1"/>
  <c r="L326" i="1"/>
  <c r="J326" i="1"/>
  <c r="F326" i="1"/>
  <c r="E326" i="1"/>
  <c r="S325" i="1"/>
  <c r="R325" i="1"/>
  <c r="Q325" i="1"/>
  <c r="P325" i="1"/>
  <c r="L325" i="1"/>
  <c r="J325" i="1"/>
  <c r="F325" i="1"/>
  <c r="E325" i="1"/>
  <c r="F324" i="1"/>
  <c r="E324" i="1"/>
  <c r="S323" i="1"/>
  <c r="R323" i="1"/>
  <c r="Q323" i="1"/>
  <c r="P323" i="1"/>
  <c r="F323" i="1"/>
  <c r="E323" i="1"/>
  <c r="S322" i="1"/>
  <c r="R322" i="1"/>
  <c r="Q322" i="1"/>
  <c r="P322" i="1"/>
  <c r="L322" i="1"/>
  <c r="J322" i="1"/>
  <c r="F322" i="1"/>
  <c r="E322" i="1"/>
  <c r="F321" i="1"/>
  <c r="E321" i="1"/>
  <c r="J320" i="1"/>
  <c r="F320" i="1"/>
  <c r="E320" i="1"/>
  <c r="F319" i="1"/>
  <c r="E319" i="1"/>
  <c r="F318" i="1"/>
  <c r="E318" i="1"/>
  <c r="F317" i="1"/>
  <c r="E317" i="1"/>
  <c r="F316" i="1"/>
  <c r="E316" i="1"/>
  <c r="S315" i="1"/>
  <c r="R315" i="1"/>
  <c r="Q315" i="1"/>
  <c r="P315" i="1"/>
  <c r="L315" i="1"/>
  <c r="J315" i="1"/>
  <c r="F315" i="1"/>
  <c r="E315" i="1"/>
  <c r="S314" i="1"/>
  <c r="R314" i="1"/>
  <c r="Q314" i="1"/>
  <c r="P314" i="1"/>
  <c r="L314" i="1"/>
  <c r="J314" i="1"/>
  <c r="F314" i="1"/>
  <c r="E314" i="1"/>
  <c r="S313" i="1"/>
  <c r="R313" i="1"/>
  <c r="Q313" i="1"/>
  <c r="P313" i="1"/>
  <c r="F313" i="1"/>
  <c r="E313" i="1"/>
  <c r="S312" i="1"/>
  <c r="R312" i="1"/>
  <c r="Q312" i="1"/>
  <c r="P312" i="1"/>
  <c r="L312" i="1"/>
  <c r="F312" i="1"/>
  <c r="E312" i="1"/>
  <c r="S311" i="1"/>
  <c r="R311" i="1"/>
  <c r="Q311" i="1"/>
  <c r="P311" i="1"/>
  <c r="L311" i="1"/>
  <c r="J311" i="1"/>
  <c r="F311" i="1"/>
  <c r="E311" i="1"/>
  <c r="S310" i="1"/>
  <c r="R310" i="1"/>
  <c r="Q310" i="1"/>
  <c r="P310" i="1"/>
  <c r="L310" i="1"/>
  <c r="J310" i="1"/>
  <c r="F310" i="1"/>
  <c r="E310" i="1"/>
  <c r="S309" i="1"/>
  <c r="R309" i="1"/>
  <c r="Q309" i="1"/>
  <c r="P309" i="1"/>
  <c r="L309" i="1"/>
  <c r="J309" i="1"/>
  <c r="F309" i="1"/>
  <c r="E309" i="1"/>
  <c r="F308" i="1"/>
  <c r="E308" i="1"/>
  <c r="F307" i="1"/>
  <c r="E307" i="1"/>
  <c r="F306" i="1"/>
  <c r="E306" i="1"/>
  <c r="S305" i="1"/>
  <c r="R305" i="1"/>
  <c r="Q305" i="1"/>
  <c r="P305" i="1"/>
  <c r="L305" i="1"/>
  <c r="J305" i="1"/>
  <c r="F305" i="1"/>
  <c r="E305" i="1"/>
  <c r="S304" i="1"/>
  <c r="R304" i="1"/>
  <c r="Q304" i="1"/>
  <c r="P304" i="1"/>
  <c r="L304" i="1"/>
  <c r="J304" i="1"/>
  <c r="F304" i="1"/>
  <c r="E304" i="1"/>
  <c r="F303" i="1"/>
  <c r="E303" i="1"/>
  <c r="J302" i="1"/>
  <c r="F302" i="1"/>
  <c r="E302" i="1"/>
  <c r="S301" i="1"/>
  <c r="R301" i="1"/>
  <c r="Q301" i="1"/>
  <c r="P301" i="1"/>
  <c r="L301" i="1"/>
  <c r="J301" i="1"/>
  <c r="F301" i="1"/>
  <c r="E301" i="1"/>
  <c r="S300" i="1"/>
  <c r="R300" i="1"/>
  <c r="Q300" i="1"/>
  <c r="P300" i="1"/>
  <c r="L300" i="1"/>
  <c r="J300" i="1"/>
  <c r="F300" i="1"/>
  <c r="E300" i="1"/>
  <c r="S299" i="1"/>
  <c r="R299" i="1"/>
  <c r="Q299" i="1"/>
  <c r="P299" i="1"/>
  <c r="J299" i="1"/>
  <c r="F299" i="1"/>
  <c r="E299" i="1"/>
  <c r="J298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5" i="1"/>
  <c r="E225" i="1"/>
  <c r="F224" i="1"/>
  <c r="E224" i="1"/>
  <c r="F220" i="1"/>
  <c r="E220" i="1"/>
  <c r="F219" i="1"/>
  <c r="E219" i="1"/>
  <c r="F218" i="1"/>
  <c r="E218" i="1"/>
  <c r="F197" i="1"/>
  <c r="E197" i="1"/>
  <c r="F196" i="1"/>
  <c r="E196" i="1"/>
  <c r="F195" i="1"/>
  <c r="E195" i="1"/>
  <c r="F194" i="1"/>
  <c r="E194" i="1"/>
  <c r="F190" i="1"/>
  <c r="E190" i="1"/>
  <c r="F189" i="1"/>
  <c r="E189" i="1"/>
  <c r="F188" i="1"/>
  <c r="E188" i="1"/>
  <c r="F187" i="1"/>
  <c r="E187" i="1"/>
  <c r="F2" i="1"/>
  <c r="E2" i="1"/>
  <c r="I4" i="1" l="1"/>
  <c r="I49" i="1"/>
  <c r="I159" i="1"/>
  <c r="I162" i="1"/>
  <c r="I163" i="1"/>
  <c r="I341" i="1"/>
</calcChain>
</file>

<file path=xl/sharedStrings.xml><?xml version="1.0" encoding="utf-8"?>
<sst xmlns="http://schemas.openxmlformats.org/spreadsheetml/2006/main" count="5314" uniqueCount="1646">
  <si>
    <t>Mã 
BĐT/TP</t>
  </si>
  <si>
    <t>Tên BĐT/TP</t>
  </si>
  <si>
    <t>Mã MBC</t>
  </si>
  <si>
    <t>Tên bưu cục</t>
  </si>
  <si>
    <t>Mã 
BĐX</t>
  </si>
  <si>
    <t>Tên Bưu điện xã</t>
  </si>
  <si>
    <t>Loại</t>
  </si>
  <si>
    <t>IP</t>
  </si>
  <si>
    <t>Ngày cấp</t>
  </si>
  <si>
    <t>Tên máy</t>
  </si>
  <si>
    <t>Địa chỉ MAC</t>
  </si>
  <si>
    <t>Loại máy</t>
  </si>
  <si>
    <t>Hãng</t>
  </si>
  <si>
    <t>Model</t>
  </si>
  <si>
    <t>Serial Number/TAG</t>
  </si>
  <si>
    <t>Hệ điều hành</t>
  </si>
  <si>
    <t>CPU</t>
  </si>
  <si>
    <t>RAM</t>
  </si>
  <si>
    <t>Ổ cứng</t>
  </si>
  <si>
    <t>Người sử dụng</t>
  </si>
  <si>
    <t>Mã 
BĐKV</t>
  </si>
  <si>
    <t>Tên 
BĐKV</t>
  </si>
  <si>
    <t>Bưu điện xã
trung tâm</t>
  </si>
  <si>
    <t>Địa chỉ chi tiết</t>
  </si>
  <si>
    <t>n</t>
  </si>
  <si>
    <t>BĐTP Huế</t>
  </si>
  <si>
    <t>An Cựu</t>
  </si>
  <si>
    <t>Bưu điện Huế</t>
  </si>
  <si>
    <t>67A Hoàng Quốc Việt</t>
  </si>
  <si>
    <t>Cửa Thuận</t>
  </si>
  <si>
    <t>Bưu điện phường Thuận An</t>
  </si>
  <si>
    <t>GD3</t>
  </si>
  <si>
    <t>10.47.47.155</t>
  </si>
  <si>
    <t>HUE-TP-CTN</t>
  </si>
  <si>
    <t>00-09-0F-AA-00-01</t>
  </si>
  <si>
    <t>Máy tính để bàn Dell</t>
  </si>
  <si>
    <t>ASRock</t>
  </si>
  <si>
    <t>ASRock H310M-HDV</t>
  </si>
  <si>
    <t>To Be Filled By O.E.M.</t>
  </si>
  <si>
    <t>Windows 10 Pro</t>
  </si>
  <si>
    <t>Intel i3-8100 3.20GHz</t>
  </si>
  <si>
    <t>4GB</t>
  </si>
  <si>
    <t>SSD 119GB</t>
  </si>
  <si>
    <t/>
  </si>
  <si>
    <t>5304</t>
  </si>
  <si>
    <t>57 Đường Kinh Dương Vương</t>
  </si>
  <si>
    <t>10.47.32.142</t>
  </si>
  <si>
    <t>HUE-TTKD-THIN</t>
  </si>
  <si>
    <t>38-22-E2-18-88-EE</t>
  </si>
  <si>
    <t>HP</t>
  </si>
  <si>
    <t>HP ProDesk 600 G5 Desktop Mini</t>
  </si>
  <si>
    <t>8CC011337W</t>
  </si>
  <si>
    <t>HDD 466GB</t>
  </si>
  <si>
    <t>THANH THÌN</t>
  </si>
  <si>
    <t>Hải Dương</t>
  </si>
  <si>
    <t>VHX</t>
  </si>
  <si>
    <t>10.47.47.43</t>
  </si>
  <si>
    <t>HUE-TP-HDG</t>
  </si>
  <si>
    <t>38-22-E2-18-92-54</t>
  </si>
  <si>
    <t>Máy tính để bàn Hewlett-Packard</t>
  </si>
  <si>
    <t>8CC01131ZP</t>
  </si>
  <si>
    <t>Windows 10 Home Single Language</t>
  </si>
  <si>
    <t>Intel i3 9100T 3.1GHz</t>
  </si>
  <si>
    <t>Thôn Thái Dương Thượng Tây</t>
  </si>
  <si>
    <t>Làng Rồng</t>
  </si>
  <si>
    <t>10.47.47.132</t>
  </si>
  <si>
    <t>HUE-VHX-LRG</t>
  </si>
  <si>
    <t>B8-85-84-AB-12-1D</t>
  </si>
  <si>
    <t>Dell Inc.</t>
  </si>
  <si>
    <t>OptiPlex 5060</t>
  </si>
  <si>
    <t>72TDBS2</t>
  </si>
  <si>
    <t>Windows 10 IoT Enterprise LTSC 2021</t>
  </si>
  <si>
    <t>Intel i3-8100T 3.20GHz</t>
  </si>
  <si>
    <t>Thôn An Hải</t>
  </si>
  <si>
    <t>Phú Hải</t>
  </si>
  <si>
    <t>10.47.47.151</t>
  </si>
  <si>
    <t>HUE-TAN-PHI</t>
  </si>
  <si>
    <t>18-66-DA-28-CE-71</t>
  </si>
  <si>
    <t>Máy tính để bàn lắp ráp ĐNA</t>
  </si>
  <si>
    <t>OptiPlex 3040</t>
  </si>
  <si>
    <t>6BPL8F2</t>
  </si>
  <si>
    <t>Intel i3-6100 3.20GHz</t>
  </si>
  <si>
    <t>SSD 112GB</t>
  </si>
  <si>
    <t>Bưu điện Phú Vang</t>
  </si>
  <si>
    <t>Thôn Cự Lại Đông</t>
  </si>
  <si>
    <t>Phú Thuận</t>
  </si>
  <si>
    <t>10.47.47.140</t>
  </si>
  <si>
    <t>HUE-PVG-PTN</t>
  </si>
  <si>
    <t>48-4D-7E-DE-2B-72</t>
  </si>
  <si>
    <t>40V41H2</t>
  </si>
  <si>
    <t>SSD 238GB</t>
  </si>
  <si>
    <t>Thôn An Dương</t>
  </si>
  <si>
    <t>Hương Phong</t>
  </si>
  <si>
    <t>Bưu điện phường Hóa Châu</t>
  </si>
  <si>
    <t>10.47.47.50</t>
  </si>
  <si>
    <t>HUE-HCU-HPG</t>
  </si>
  <si>
    <t>58-11-22-9B-7A-E2</t>
  </si>
  <si>
    <t>ASUS</t>
  </si>
  <si>
    <t>System Serial Number</t>
  </si>
  <si>
    <t>Intel G4400 3.3GHz</t>
  </si>
  <si>
    <t>8GB</t>
  </si>
  <si>
    <t>Thôn Vân Quật Thượng</t>
  </si>
  <si>
    <t>Hương Vinh</t>
  </si>
  <si>
    <t>10.47.47.55</t>
  </si>
  <si>
    <t>HUE-HCU-HVH</t>
  </si>
  <si>
    <t>64-00-6A-09-48-F3</t>
  </si>
  <si>
    <t>Asus</t>
  </si>
  <si>
    <t>Windows 7</t>
  </si>
  <si>
    <t>Intel G4900 3.1GHz</t>
  </si>
  <si>
    <t>HDD 500GB</t>
  </si>
  <si>
    <t>Thôn Triều Sơn Nam</t>
  </si>
  <si>
    <t>Quảng Thành</t>
  </si>
  <si>
    <t>10.47.47.94</t>
  </si>
  <si>
    <t>HUE-HCU-QTH</t>
  </si>
  <si>
    <t>38-22-E2-18-8F-7F</t>
  </si>
  <si>
    <t>8CC0113256</t>
  </si>
  <si>
    <t>Intel Core i3-9100</t>
  </si>
  <si>
    <t>NGUYỄN THU THỦY</t>
  </si>
  <si>
    <t>BĐKV Hương Trà - Quảng Điền</t>
  </si>
  <si>
    <t>Thôn Thành Trung</t>
  </si>
  <si>
    <t>Trung Đông</t>
  </si>
  <si>
    <t>Bưu điện phường Mỹ Thượng</t>
  </si>
  <si>
    <t>10.47.47.128</t>
  </si>
  <si>
    <t>HUE-TP-TDG</t>
  </si>
  <si>
    <t>50-AF-73-38-1E-B8</t>
  </si>
  <si>
    <t>Posbank</t>
  </si>
  <si>
    <t>PosBank RB-P101G</t>
  </si>
  <si>
    <t>P101GV6821180486</t>
  </si>
  <si>
    <t>Windows 10 Enterprise LTSC 2019</t>
  </si>
  <si>
    <t>Intel J1900 2.42GHz</t>
  </si>
  <si>
    <t>Thôn Trung Đông</t>
  </si>
  <si>
    <t>Phú Thượng</t>
  </si>
  <si>
    <t>10.47.47.141</t>
  </si>
  <si>
    <t>HUE-TP-PTG</t>
  </si>
  <si>
    <t>48-4D-7E-D7-27-FE</t>
  </si>
  <si>
    <t>41261H2</t>
  </si>
  <si>
    <t>Windows 10 Home</t>
  </si>
  <si>
    <t>SSD 224GB</t>
  </si>
  <si>
    <t>Thôn Ngọc Anh</t>
  </si>
  <si>
    <t>10.47.47.144</t>
  </si>
  <si>
    <t>HUE-MTG-GD</t>
  </si>
  <si>
    <t>70-85-C2-F6-D0-46</t>
  </si>
  <si>
    <t>ASRock H110M</t>
  </si>
  <si>
    <t>HOÀI PHƯƠNG</t>
  </si>
  <si>
    <t>Phú An</t>
  </si>
  <si>
    <t>10.47.47.133</t>
  </si>
  <si>
    <t>HUE-PVG-PAN</t>
  </si>
  <si>
    <t>B8-85-84-AF-46-E6</t>
  </si>
  <si>
    <t>B0WP8T2</t>
  </si>
  <si>
    <t>Thôn Truyền Nam</t>
  </si>
  <si>
    <t>Phú Mỹ</t>
  </si>
  <si>
    <t>10.47.47.138</t>
  </si>
  <si>
    <t>HUE-MTG-PMY</t>
  </si>
  <si>
    <t>UNKNOWN</t>
  </si>
  <si>
    <t>726CBS2</t>
  </si>
  <si>
    <t>Thôn Vinh Vệ</t>
  </si>
  <si>
    <t>Thủy Vân</t>
  </si>
  <si>
    <t>Bưu điện phường Vỹ Dạ</t>
  </si>
  <si>
    <t>10.47.47.116</t>
  </si>
  <si>
    <t>HUE-VDA-TVN</t>
  </si>
  <si>
    <t>B0-6E-BF-5A-D4-6B</t>
  </si>
  <si>
    <t>System manufacturer</t>
  </si>
  <si>
    <t>System Product Name</t>
  </si>
  <si>
    <t>Thôn Xuân Hòa</t>
  </si>
  <si>
    <t>10.47.47.28</t>
  </si>
  <si>
    <t>HUE-VDA-GD</t>
  </si>
  <si>
    <t>64-00-6A-09-49-B2</t>
  </si>
  <si>
    <t>OptiPlex 3020M</t>
  </si>
  <si>
    <t>BBMG862</t>
  </si>
  <si>
    <t>Intel i3 4150T 3.1GHz</t>
  </si>
  <si>
    <t>VÕ KHẮC QUÝ</t>
  </si>
  <si>
    <t>Huế</t>
  </si>
  <si>
    <t>Bưu điện phường Thuận Hóa</t>
  </si>
  <si>
    <t>GD1</t>
  </si>
  <si>
    <t>10.47.12.145</t>
  </si>
  <si>
    <t>HUE-TP-GDTT01</t>
  </si>
  <si>
    <t>D8-9E-F3-8D-46-C3</t>
  </si>
  <si>
    <t>OptiPlex 3050</t>
  </si>
  <si>
    <t>18TXSR2</t>
  </si>
  <si>
    <t>Intel i3 7100T 3.4GHz</t>
  </si>
  <si>
    <t>*</t>
  </si>
  <si>
    <t>8 Đường Hoàng Hoa Thám</t>
  </si>
  <si>
    <t>10.47.12.20</t>
  </si>
  <si>
    <t>HUE-TP-GDTT05</t>
  </si>
  <si>
    <t>50-AF-73-38-1E-9A</t>
  </si>
  <si>
    <t>P101GV6821180480</t>
  </si>
  <si>
    <t>10.47.12.201</t>
  </si>
  <si>
    <t>HUE-TP-UYENPTT</t>
  </si>
  <si>
    <t>F8-BC-12-A4-39-4B</t>
  </si>
  <si>
    <t>CGZ8H32</t>
  </si>
  <si>
    <t>Intel i3 4160T 3.1GHz</t>
  </si>
  <si>
    <t>10.47.12.22</t>
  </si>
  <si>
    <t>HUE-TP-GDTT07</t>
  </si>
  <si>
    <t>50-AF-73-38-1D-82</t>
  </si>
  <si>
    <t>P101GV6821180261</t>
  </si>
  <si>
    <t>10.47.12.23</t>
  </si>
  <si>
    <t>HUE-THPX-THUYLT</t>
  </si>
  <si>
    <t>50-AF-73-38-22-BB</t>
  </si>
  <si>
    <t>P101GV6821181397</t>
  </si>
  <si>
    <t>Windows 10 Enterprise LTSC 2021</t>
  </si>
  <si>
    <t>10.47.12.24</t>
  </si>
  <si>
    <t>HUE-TP-GDTT06</t>
  </si>
  <si>
    <t>50-AF-73-38-20-CD</t>
  </si>
  <si>
    <t>P101GV6821181216</t>
  </si>
  <si>
    <t>10.47.12.25</t>
  </si>
  <si>
    <t>HUE-THA-GDTT02</t>
  </si>
  <si>
    <t>18-66-DA-28-FE-27</t>
  </si>
  <si>
    <t>655N8F2</t>
  </si>
  <si>
    <t>Intel i3 6100T 3.2GHz</t>
  </si>
  <si>
    <t>10.47.12.26</t>
  </si>
  <si>
    <t>HUE-TP-GDTT08</t>
  </si>
  <si>
    <t>50-AF-73-38-23-17</t>
  </si>
  <si>
    <t>P101GV6821182081</t>
  </si>
  <si>
    <t>10.47.12.27</t>
  </si>
  <si>
    <t>HUE-THPX-TKBD</t>
  </si>
  <si>
    <t>50-9A-4C-11-07-F4</t>
  </si>
  <si>
    <t>Vostro 3667</t>
  </si>
  <si>
    <t>1Y72DK2</t>
  </si>
  <si>
    <t>HDD 466GB + SSD 238GB</t>
  </si>
  <si>
    <t>LVPB HUẾ</t>
  </si>
  <si>
    <t>10.47.12.31</t>
  </si>
  <si>
    <t>HUE-TP-GDTT02</t>
  </si>
  <si>
    <t>50-AF-73-38-23-B6</t>
  </si>
  <si>
    <t>P101GV6821181509</t>
  </si>
  <si>
    <t>10.47.47.31</t>
  </si>
  <si>
    <t>VP BĐTP Huế</t>
  </si>
  <si>
    <t>VP</t>
  </si>
  <si>
    <t>10.47.12.209</t>
  </si>
  <si>
    <t>HUE-TP-BCCP</t>
  </si>
  <si>
    <t>70-4D-7B-66-DE-0D</t>
  </si>
  <si>
    <t>Micro-Star International Co., Ltd.</t>
  </si>
  <si>
    <t>MS-7C96</t>
  </si>
  <si>
    <t>To be filled by O.E.M.</t>
  </si>
  <si>
    <t>MÁY BCCP</t>
  </si>
  <si>
    <t>08 Đường Hoàng Hoa Thám</t>
  </si>
  <si>
    <t>10.47.32.131</t>
  </si>
  <si>
    <t>HUE-TCKH-NHIHTY</t>
  </si>
  <si>
    <t>34-5A-60-3C-74-29</t>
  </si>
  <si>
    <t>Intel E5700 3.0GHz</t>
  </si>
  <si>
    <t>6GB</t>
  </si>
  <si>
    <t>KẾ TOÁN</t>
  </si>
  <si>
    <t>10.47.12.216</t>
  </si>
  <si>
    <t>HUE-TP-QUANGHH</t>
  </si>
  <si>
    <t>D8-5E-D3-95-14-7B</t>
  </si>
  <si>
    <t>Gigabyte Technology Co., Ltd.</t>
  </si>
  <si>
    <t>H510M H</t>
  </si>
  <si>
    <t>Default string</t>
  </si>
  <si>
    <t>Intel G6405 4.1GHz</t>
  </si>
  <si>
    <t>SSD 224GB + UNKNOWN 233GB</t>
  </si>
  <si>
    <t>HOÀNG HỮU QUANG</t>
  </si>
  <si>
    <t>10.47.12.35</t>
  </si>
  <si>
    <t>HUE-TP-DONGTD</t>
  </si>
  <si>
    <t>70-4D-7B-68-62-04</t>
  </si>
  <si>
    <t>SSD 238GB + HDD 466GB</t>
  </si>
  <si>
    <t>10.47.12.43</t>
  </si>
  <si>
    <t>HUE-TP-HOAINT</t>
  </si>
  <si>
    <t>34-5A-60-3C-73-77</t>
  </si>
  <si>
    <t>10.47.12.44</t>
  </si>
  <si>
    <t>HUE-TCKH-THUHT</t>
  </si>
  <si>
    <t>9C-6B-00-38-50-D0</t>
  </si>
  <si>
    <t>H510M-HVS R2.0</t>
  </si>
  <si>
    <t>10.47.12.53</t>
  </si>
  <si>
    <t>HUE-TP-MINHNH</t>
  </si>
  <si>
    <t>40-B0-76-45-75-C6</t>
  </si>
  <si>
    <t>SSD 112GB + HDD 298GB</t>
  </si>
  <si>
    <t>10.47.12.55</t>
  </si>
  <si>
    <t>HUE-THA-NINT</t>
  </si>
  <si>
    <t>F4-4D-30-0F-77-4E</t>
  </si>
  <si>
    <t>ECS</t>
  </si>
  <si>
    <t>H81H3-M4</t>
  </si>
  <si>
    <t>00000000</t>
  </si>
  <si>
    <t>Intel G3260 3.3GHz</t>
  </si>
  <si>
    <t>SSD 119GB + HDD 466GB</t>
  </si>
  <si>
    <t>KINH DOANH</t>
  </si>
  <si>
    <t>10.47.12.56</t>
  </si>
  <si>
    <t>HUE-TP-YENNTK</t>
  </si>
  <si>
    <t>A8-A1-59-12-DF-52</t>
  </si>
  <si>
    <t>THỦ QUỸ</t>
  </si>
  <si>
    <t>10.47.12.62</t>
  </si>
  <si>
    <t>HUE-TP-THAMVT</t>
  </si>
  <si>
    <t>60-45-CB-6E-73-A4</t>
  </si>
  <si>
    <t>Trung tâm Hành chính công</t>
  </si>
  <si>
    <t>10.47.47.26</t>
  </si>
  <si>
    <t>NHU</t>
  </si>
  <si>
    <t>D4-6A-6A-63-3B-2B</t>
  </si>
  <si>
    <t>Vostro 3668</t>
  </si>
  <si>
    <t>4XFRZL2</t>
  </si>
  <si>
    <t>Intel i3-7100 3.9GHz</t>
  </si>
  <si>
    <t>1 Đường Lê Lai</t>
  </si>
  <si>
    <t>10.47.47.27</t>
  </si>
  <si>
    <t>HUE-TP-TTHCC01</t>
  </si>
  <si>
    <t>D4-6A-6A-63-6F-09</t>
  </si>
  <si>
    <t>4X3XZL2</t>
  </si>
  <si>
    <t>Thuỷ An</t>
  </si>
  <si>
    <t>Bưu điện phường An Cựu</t>
  </si>
  <si>
    <t>10.47.47.181</t>
  </si>
  <si>
    <t>HUE-ANCUU-GD</t>
  </si>
  <si>
    <t>D8-5E-D3-76-C3-63</t>
  </si>
  <si>
    <t>Intel G6400 4.0GHz</t>
  </si>
  <si>
    <t>TRÀ MI</t>
  </si>
  <si>
    <t>22 Đường Hoàng Quốc Việt</t>
  </si>
  <si>
    <t>10.47.47.29</t>
  </si>
  <si>
    <t>HUE-ANU-TAN1</t>
  </si>
  <si>
    <t>44-85-00-1E-6E-87</t>
  </si>
  <si>
    <t>1BL8YC2</t>
  </si>
  <si>
    <t>Thủy Bằng</t>
  </si>
  <si>
    <t>Bưu điện phường Thủy Xuân</t>
  </si>
  <si>
    <t>10.47.47.109</t>
  </si>
  <si>
    <t>HUE-TP-TBG</t>
  </si>
  <si>
    <t>D8-5E-D3-7C-30-0C</t>
  </si>
  <si>
    <t>Thôn Bằng Lãng</t>
  </si>
  <si>
    <t>Thuỷ Biều</t>
  </si>
  <si>
    <t>10.47.47.24</t>
  </si>
  <si>
    <t>HUE-TP-TBU</t>
  </si>
  <si>
    <t>18-66-DA-28-D4-13</t>
  </si>
  <si>
    <t>6BFL8F2</t>
  </si>
  <si>
    <t>21 Đường Ngô Hà</t>
  </si>
  <si>
    <t>Thuỷ Xuân</t>
  </si>
  <si>
    <t>10.47.47.149</t>
  </si>
  <si>
    <t>HUE-TXN-GD</t>
  </si>
  <si>
    <t>10-7B-44-4D-EA-19</t>
  </si>
  <si>
    <t>45 Đường Minh Mạng</t>
  </si>
  <si>
    <t>10.47.47.25</t>
  </si>
  <si>
    <t>HUE-TP-TXN</t>
  </si>
  <si>
    <t>64-00-6A-01-E3-D1</t>
  </si>
  <si>
    <t>B17H862</t>
  </si>
  <si>
    <t>Kim Long</t>
  </si>
  <si>
    <t>Bưu điện phường Kim Long</t>
  </si>
  <si>
    <t>10.47.47.13</t>
  </si>
  <si>
    <t>HUE-TP-KLG1</t>
  </si>
  <si>
    <t>70-4D-7B-67-4F-5D</t>
  </si>
  <si>
    <t>UNKNOWN 466GB + SSD 112GB</t>
  </si>
  <si>
    <t>118 Đường Kim Long</t>
  </si>
  <si>
    <t>10.47.32.144</t>
  </si>
  <si>
    <t>HUE-TTKD-HOE</t>
  </si>
  <si>
    <t>Hương Hồ</t>
  </si>
  <si>
    <t>10.47.47.49</t>
  </si>
  <si>
    <t>HUE-KLG-HHO</t>
  </si>
  <si>
    <t>9C-6B-00-38-4F-C9</t>
  </si>
  <si>
    <t>Thôn Long Hồ Hạ</t>
  </si>
  <si>
    <t>Hương Long</t>
  </si>
  <si>
    <t>10.47.47.21</t>
  </si>
  <si>
    <t>HUE-KLG-HLG</t>
  </si>
  <si>
    <t>9C-6B-00-38-4F-F6</t>
  </si>
  <si>
    <t>89 Đường Lý Nam Đế</t>
  </si>
  <si>
    <t>Hương Thọ</t>
  </si>
  <si>
    <t>10.47.47.51</t>
  </si>
  <si>
    <t>HUE-TP-HTO</t>
  </si>
  <si>
    <t>64-00-6A-09-50-74</t>
  </si>
  <si>
    <t>BC2L862</t>
  </si>
  <si>
    <t>Thôn Liên Bằng</t>
  </si>
  <si>
    <t>An Hoà</t>
  </si>
  <si>
    <t>Bưu điện phường Hương An</t>
  </si>
  <si>
    <t>10.47.47.104</t>
  </si>
  <si>
    <t>HUE-TP-AHA1</t>
  </si>
  <si>
    <t>396 Đường Lê Duẩn</t>
  </si>
  <si>
    <t>Hương An</t>
  </si>
  <si>
    <t>10.47.47.120</t>
  </si>
  <si>
    <t>HUE-HUONGAN</t>
  </si>
  <si>
    <t>10-7B-44-A4-37-89</t>
  </si>
  <si>
    <t>NGUYỄN ĐỨC LỘC</t>
  </si>
  <si>
    <t>Thôn Bồn Phổ</t>
  </si>
  <si>
    <t>10.47.47.45</t>
  </si>
  <si>
    <t>HUE-TP-HAN</t>
  </si>
  <si>
    <t>Thủy Dương</t>
  </si>
  <si>
    <t>Bưu điện phường Thanh Thủy</t>
  </si>
  <si>
    <t>10.47.47.106</t>
  </si>
  <si>
    <t>HUE-HTY-TDG</t>
  </si>
  <si>
    <t>50-AF-73-38-21-E0</t>
  </si>
  <si>
    <t>P101GV6821181829</t>
  </si>
  <si>
    <t>Bưu điện Hương Thuỷ</t>
  </si>
  <si>
    <t>5314</t>
  </si>
  <si>
    <t>Tổ 7</t>
  </si>
  <si>
    <t>Thủy Phương</t>
  </si>
  <si>
    <t>10.47.47.113</t>
  </si>
  <si>
    <t>HUE-TTY-TPG1</t>
  </si>
  <si>
    <t>78-8C-B5-C2-76-6C</t>
  </si>
  <si>
    <t>FUJITSU</t>
  </si>
  <si>
    <t>FMVD10007</t>
  </si>
  <si>
    <t>MA4X02402</t>
  </si>
  <si>
    <t>Intel G3240 3.1GHz</t>
  </si>
  <si>
    <t>Tổ 3</t>
  </si>
  <si>
    <t>10.47.47.121</t>
  </si>
  <si>
    <t>HUE-TTY-TPG2</t>
  </si>
  <si>
    <t>78-8C-B5-C2-75-7D</t>
  </si>
  <si>
    <t>0GB</t>
  </si>
  <si>
    <t>Thủy Tân</t>
  </si>
  <si>
    <t>Bưu điện phường Hương Thủy</t>
  </si>
  <si>
    <t>10.47.47.114</t>
  </si>
  <si>
    <t>HUE-HTY-TTN</t>
  </si>
  <si>
    <t>B8-85-84-AF-71-D2</t>
  </si>
  <si>
    <t>BC9T8T2</t>
  </si>
  <si>
    <t>Thôn Tân Tô</t>
  </si>
  <si>
    <t>Hương Thủy</t>
  </si>
  <si>
    <t>Bưu điện phường Phú Bài</t>
  </si>
  <si>
    <t>GD2</t>
  </si>
  <si>
    <t>10.47.59.18</t>
  </si>
  <si>
    <t>HUE-HTY-GDTT02</t>
  </si>
  <si>
    <t>F8-0F-41-D4-03-B3</t>
  </si>
  <si>
    <t>MA4X11193</t>
  </si>
  <si>
    <t>1028 Đường Nguyễn Tất Thành</t>
  </si>
  <si>
    <t>10.47.59.27</t>
  </si>
  <si>
    <t>ADMIN-PC</t>
  </si>
  <si>
    <t>B8-85-84-AB-14-EF</t>
  </si>
  <si>
    <t>7239BS2</t>
  </si>
  <si>
    <t>TRẦN VĂN HẢI</t>
  </si>
  <si>
    <t>10.47.59.38</t>
  </si>
  <si>
    <t>TRUONG</t>
  </si>
  <si>
    <t>E0-D5-5E-0C-F7-78</t>
  </si>
  <si>
    <t>H110M-D3H R2 TPM</t>
  </si>
  <si>
    <t>ĐẶNG TRƯỜNG</t>
  </si>
  <si>
    <t>10.47.59.45</t>
  </si>
  <si>
    <t>HUE-HTY-UYENNTT</t>
  </si>
  <si>
    <t>98-EE-CB-3D-09-A1</t>
  </si>
  <si>
    <t>FMVD13070</t>
  </si>
  <si>
    <t>MA6700731</t>
  </si>
  <si>
    <t>Intel G3450 3.4GHz</t>
  </si>
  <si>
    <t>10.47.59.60</t>
  </si>
  <si>
    <t>HUE-PVG-GDTT02</t>
  </si>
  <si>
    <t>B8-85-84-AF-46-B3</t>
  </si>
  <si>
    <t>9ZPT8T2</t>
  </si>
  <si>
    <t>SSD 447GB</t>
  </si>
  <si>
    <t>VĂN THÁI HOÀI THANH</t>
  </si>
  <si>
    <t>10.47.59.78</t>
  </si>
  <si>
    <t>HUE-HTY-BCCP</t>
  </si>
  <si>
    <t>00-0C-19-0B-02-09</t>
  </si>
  <si>
    <t>3LXBH32</t>
  </si>
  <si>
    <t>Intel i3 4150T 3.40 GHz</t>
  </si>
  <si>
    <t>Thủy Phù</t>
  </si>
  <si>
    <t>10.47.47.112</t>
  </si>
  <si>
    <t>HUE-HTY-TPU</t>
  </si>
  <si>
    <t>18-66-DA-27-E8-5F</t>
  </si>
  <si>
    <t>65GK8F2</t>
  </si>
  <si>
    <t>Thôn 5</t>
  </si>
  <si>
    <t>VP BĐTX Hương Thủy</t>
  </si>
  <si>
    <t>10.47.59.68</t>
  </si>
  <si>
    <t>HUE-HTY-PHUONGV</t>
  </si>
  <si>
    <t>00-D8-61-10-1A-98</t>
  </si>
  <si>
    <t>MSI</t>
  </si>
  <si>
    <t>MS-7A50</t>
  </si>
  <si>
    <t>Intel i3 7100 3.9GHz</t>
  </si>
  <si>
    <t>VĂN THỊ THANH PHƯƠNG</t>
  </si>
  <si>
    <t>Phong Điền</t>
  </si>
  <si>
    <t>Bưu điện phường Phong Điền</t>
  </si>
  <si>
    <t>10.47.64.21</t>
  </si>
  <si>
    <t>HUE-PDN-GDTT03</t>
  </si>
  <si>
    <t>F8-BC-12-A2-D6-A8</t>
  </si>
  <si>
    <t>6MXBH32</t>
  </si>
  <si>
    <t>Intel i3-4150T 3.0GHz</t>
  </si>
  <si>
    <t>LPBANK</t>
  </si>
  <si>
    <t>Bưu điện Phong Điền</t>
  </si>
  <si>
    <t>Thôn Trạch Thượng 1</t>
  </si>
  <si>
    <t>10.47.64.34</t>
  </si>
  <si>
    <t>HUE-PTI-ALO2</t>
  </si>
  <si>
    <t>50-AF-73-38-1E-5A</t>
  </si>
  <si>
    <t>P101GV6821180993</t>
  </si>
  <si>
    <t>10.47.64.40</t>
  </si>
  <si>
    <t>HUE-PDN-GDTT02</t>
  </si>
  <si>
    <t>18-66-DA-28-F8-76</t>
  </si>
  <si>
    <t>653H8F2</t>
  </si>
  <si>
    <t>10.47.64.46</t>
  </si>
  <si>
    <t>HUE-PDN-GDTT04</t>
  </si>
  <si>
    <t>00-0E-C8-A1-19-A1</t>
  </si>
  <si>
    <t>10.47.64.70</t>
  </si>
  <si>
    <t>HUE-PDN-BCCP</t>
  </si>
  <si>
    <t>2C-FD-A1-BF-68-F5</t>
  </si>
  <si>
    <t>SSD 112GB + HDD 932GB</t>
  </si>
  <si>
    <t>SERVERBCCP</t>
  </si>
  <si>
    <t>Phong Xuân</t>
  </si>
  <si>
    <t>10.47.47.64</t>
  </si>
  <si>
    <t>HUE-PDN-PXN</t>
  </si>
  <si>
    <t>84-2A-FD-14-4A-AE</t>
  </si>
  <si>
    <t>Intel i3-4160 3.0GHz</t>
  </si>
  <si>
    <t>Thôn Bình An</t>
  </si>
  <si>
    <t>Phong Mỹ</t>
  </si>
  <si>
    <t>10.47.47.75</t>
  </si>
  <si>
    <t>HUE-PDN-PMY</t>
  </si>
  <si>
    <t>84-2A-FD-14-4A-AC</t>
  </si>
  <si>
    <t>HP PRODESK 600 G5</t>
  </si>
  <si>
    <t>8CC0113344</t>
  </si>
  <si>
    <t>Thôn Lưu Hiền Hòa</t>
  </si>
  <si>
    <t>An Lỗ</t>
  </si>
  <si>
    <t>Bưu điện phường Phong Thái</t>
  </si>
  <si>
    <t>10.47.47.61</t>
  </si>
  <si>
    <t>HUE-PDN-ALO</t>
  </si>
  <si>
    <t>58-11-22-48-4A-8B</t>
  </si>
  <si>
    <t>HDD 466GB + SSD 112GB</t>
  </si>
  <si>
    <t>Thôn Bồ Điền</t>
  </si>
  <si>
    <t>Phong An</t>
  </si>
  <si>
    <t>10.47.47.14</t>
  </si>
  <si>
    <t>HUE-PTI-GD</t>
  </si>
  <si>
    <t>AMD Ryzen 5 5500GT</t>
  </si>
  <si>
    <t>Thôn Phò Ninh</t>
  </si>
  <si>
    <t>10.47.47.69</t>
  </si>
  <si>
    <t>HUE-VHX-PAN</t>
  </si>
  <si>
    <t>58-11-22-BF-9E-A1</t>
  </si>
  <si>
    <t>Phong Hiền</t>
  </si>
  <si>
    <t>10.47.47.73</t>
  </si>
  <si>
    <t>HUE-PTI-PHN</t>
  </si>
  <si>
    <t>9YTN8T2</t>
  </si>
  <si>
    <t>Thôn An Lỗ</t>
  </si>
  <si>
    <t>Phong Sơn</t>
  </si>
  <si>
    <t>10.47.47.76</t>
  </si>
  <si>
    <t>HUE-PDN-PSN</t>
  </si>
  <si>
    <t>38-22-E2-18-8F-AE</t>
  </si>
  <si>
    <t>8CC01131X4</t>
  </si>
  <si>
    <t>Thôn Sơn Quả</t>
  </si>
  <si>
    <t>Phong Bình</t>
  </si>
  <si>
    <t>Bưu điện phường Phong Dinh</t>
  </si>
  <si>
    <t>10.47.47.70</t>
  </si>
  <si>
    <t>HUE-PDN-PBH</t>
  </si>
  <si>
    <t>00-4E-01-AD-5D-0A</t>
  </si>
  <si>
    <t>B9BQ8T2</t>
  </si>
  <si>
    <t>Thôn Tây Phú (phò Trạch)</t>
  </si>
  <si>
    <t>Phong Chương</t>
  </si>
  <si>
    <t>10.47.47.71</t>
  </si>
  <si>
    <t>HUE-PDN-PCG</t>
  </si>
  <si>
    <t>A0-AD-9F-C6-B7-0D</t>
  </si>
  <si>
    <t>B9BQ8T4</t>
  </si>
  <si>
    <t>Thôn Trung Thạnh</t>
  </si>
  <si>
    <t>10.47.47.202</t>
  </si>
  <si>
    <t>HUE-PDH-PCG2</t>
  </si>
  <si>
    <t>A0-AD-9F-C6-B7-0F</t>
  </si>
  <si>
    <t>Intel G5905 3.5GHz</t>
  </si>
  <si>
    <t>LÊ THỊ QUÝ</t>
  </si>
  <si>
    <t>Phong Hòa</t>
  </si>
  <si>
    <t>10.47.47.74</t>
  </si>
  <si>
    <t>HUE-PDN-PHA</t>
  </si>
  <si>
    <t>84-2A-FD-14-4A-90</t>
  </si>
  <si>
    <t>BU IDS PRODESK 600 G5</t>
  </si>
  <si>
    <t>8CC01133DJ</t>
  </si>
  <si>
    <t>Thôn Trạch Phổ</t>
  </si>
  <si>
    <t>Điền Hòa</t>
  </si>
  <si>
    <t>Bưu điện phường Phong Phú</t>
  </si>
  <si>
    <t>10.47.47.63</t>
  </si>
  <si>
    <t>HUE-PDN-DHA</t>
  </si>
  <si>
    <t>64-00-6A-09-50-23</t>
  </si>
  <si>
    <t>BBPF862</t>
  </si>
  <si>
    <t>Điền Hương</t>
  </si>
  <si>
    <t>10.47.47.66</t>
  </si>
  <si>
    <t>HUE-PDN-DHG</t>
  </si>
  <si>
    <t>48-4D-7E-DB-8A-07</t>
  </si>
  <si>
    <t>Intel G5905 3.50GHz</t>
  </si>
  <si>
    <t>2GB</t>
  </si>
  <si>
    <t>Thôn Thanh Hương Tây</t>
  </si>
  <si>
    <t>Điền Lộc</t>
  </si>
  <si>
    <t>10.47.47.67</t>
  </si>
  <si>
    <t>HUE-PPU-DLC</t>
  </si>
  <si>
    <t>E8-9C-25-3F-F2-24</t>
  </si>
  <si>
    <t>Intel i3-4150 3.5GHz</t>
  </si>
  <si>
    <t>Thôn Nhất Tây</t>
  </si>
  <si>
    <t>Điền Môn</t>
  </si>
  <si>
    <t>10.47.47.68</t>
  </si>
  <si>
    <t>HUE-PDN-DMN</t>
  </si>
  <si>
    <t>eMachines</t>
  </si>
  <si>
    <t>eMachines D730</t>
  </si>
  <si>
    <t>LXNAV0C012020B9D6B2200</t>
  </si>
  <si>
    <t>Intel G3250 3.20GHz</t>
  </si>
  <si>
    <t>Thôn Kế Môn 1</t>
  </si>
  <si>
    <t>Điền Hải</t>
  </si>
  <si>
    <t>Bưu điện phường Phong Quảng</t>
  </si>
  <si>
    <t>10.47.47.65</t>
  </si>
  <si>
    <t>HUE-PDN-DHI1</t>
  </si>
  <si>
    <t>58-11-22-A7-26-C6</t>
  </si>
  <si>
    <t>Intel i3-7100 3.90GHz</t>
  </si>
  <si>
    <t>5341</t>
  </si>
  <si>
    <t>Thôn 4</t>
  </si>
  <si>
    <t>10.47.47.79</t>
  </si>
  <si>
    <t>HUE-PQG-DHI2</t>
  </si>
  <si>
    <t>00-E0-4C-36-50-5D</t>
  </si>
  <si>
    <t>6BWD8F2</t>
  </si>
  <si>
    <t>Quảng Công</t>
  </si>
  <si>
    <t>10.47.47.86</t>
  </si>
  <si>
    <t>HUE-QDN-QCG</t>
  </si>
  <si>
    <t>Intel i3 4150 3.5GHz</t>
  </si>
  <si>
    <t>HDD 932GB</t>
  </si>
  <si>
    <t>Thôn 3</t>
  </si>
  <si>
    <t>Quảng Ngạn</t>
  </si>
  <si>
    <t>10.47.47.90</t>
  </si>
  <si>
    <t>HUE-QDN-QNN</t>
  </si>
  <si>
    <t>60-CF-84-A4-F5-5F</t>
  </si>
  <si>
    <t>16GB</t>
  </si>
  <si>
    <t>SSD 224GB + HDD 466GB</t>
  </si>
  <si>
    <t>Thôn 2</t>
  </si>
  <si>
    <t>Quảng Phú</t>
  </si>
  <si>
    <t>Bưu điện xã Đan Điền</t>
  </si>
  <si>
    <t>10.47.47.91</t>
  </si>
  <si>
    <t>HUE-QDN-QPU</t>
  </si>
  <si>
    <t>B8-85-84-B1-19-48</t>
  </si>
  <si>
    <t>B0FV8T2</t>
  </si>
  <si>
    <t>Thôn Hạ Lang</t>
  </si>
  <si>
    <t>Quảng Vinh</t>
  </si>
  <si>
    <t>10.47.47.161</t>
  </si>
  <si>
    <t>HUE-DANDIEN-GD</t>
  </si>
  <si>
    <t>A0-AD-9F-03-71-1C</t>
  </si>
  <si>
    <t>KIM ANH</t>
  </si>
  <si>
    <t>Thôn Sơn Tùng</t>
  </si>
  <si>
    <t>10.47.47.96</t>
  </si>
  <si>
    <t>HUE-QDN-QVH</t>
  </si>
  <si>
    <t>58-11-22-DB-7A-F5</t>
  </si>
  <si>
    <t>10.47.47.32</t>
  </si>
  <si>
    <t>Quảng Điền</t>
  </si>
  <si>
    <t>Bưu điện xã Quảng Điền</t>
  </si>
  <si>
    <t>10.47.63.30</t>
  </si>
  <si>
    <t>HUE-QDN-THAN</t>
  </si>
  <si>
    <t>50-EB-F6-B5-F7-EC</t>
  </si>
  <si>
    <t>Intel G3440 3.3GHz</t>
  </si>
  <si>
    <t>SSD 120GB</t>
  </si>
  <si>
    <t>HỒ THÂN</t>
  </si>
  <si>
    <t>45 Đường Nguyễn Kim Thành</t>
  </si>
  <si>
    <t>10.47.63.16</t>
  </si>
  <si>
    <t>HUE-QDN-GDX</t>
  </si>
  <si>
    <t>THÙY TRANG</t>
  </si>
  <si>
    <t>10.47.63.18</t>
  </si>
  <si>
    <t>HUE-QDN-GDTT03</t>
  </si>
  <si>
    <t>B8-85-84-AB-17-E0</t>
  </si>
  <si>
    <t>7BB6BS2</t>
  </si>
  <si>
    <t>10.47.63.20</t>
  </si>
  <si>
    <t>HUE-QDN-GDTT01</t>
  </si>
  <si>
    <t>50-AF-73-38-1C-6F</t>
  </si>
  <si>
    <t>P101GV6821180318</t>
  </si>
  <si>
    <t>Quảng An</t>
  </si>
  <si>
    <t>10.47.47.88</t>
  </si>
  <si>
    <t>HUE-QDN-QAN</t>
  </si>
  <si>
    <t>H81M-H M.2</t>
  </si>
  <si>
    <t>Intel G3260 3.3Ghz</t>
  </si>
  <si>
    <t>Thôn Mỹ Xá</t>
  </si>
  <si>
    <t>Quảng Thọ</t>
  </si>
  <si>
    <t>10.47.47.95</t>
  </si>
  <si>
    <t>HUE-QDN-QTO</t>
  </si>
  <si>
    <t>B8-85-84-AF-49-65</t>
  </si>
  <si>
    <t>B0HN8T2</t>
  </si>
  <si>
    <t>Thôn Tân Xuân Lai</t>
  </si>
  <si>
    <t>Vinh Thanh</t>
  </si>
  <si>
    <t>Bưu điện xã Phú Vinh</t>
  </si>
  <si>
    <t>10.47.47.147</t>
  </si>
  <si>
    <t>HUE-PVH-VTH</t>
  </si>
  <si>
    <t>9C-6B-00-38-52-B2</t>
  </si>
  <si>
    <t>10.47.47.187</t>
  </si>
  <si>
    <t>HUE-PVH-GD</t>
  </si>
  <si>
    <t>BC-FC-E7-67-BA-DD</t>
  </si>
  <si>
    <t>7GB</t>
  </si>
  <si>
    <t>SSD 466GB</t>
  </si>
  <si>
    <t>Vinh Xuân</t>
  </si>
  <si>
    <t>10.47.47.148</t>
  </si>
  <si>
    <t>HUE-PVG-VXN</t>
  </si>
  <si>
    <t>A0-36-BC-3B-55-DA</t>
  </si>
  <si>
    <t>Intel i3 10105 4.4GHz</t>
  </si>
  <si>
    <t>Thôn Tân Sa</t>
  </si>
  <si>
    <t>Phú Hồ</t>
  </si>
  <si>
    <t>Bưu điện xã Phú Hồ</t>
  </si>
  <si>
    <t>10.47.47.119</t>
  </si>
  <si>
    <t>HUE-PHO-GD</t>
  </si>
  <si>
    <t>E0-D5-5E-0B-8F-B2</t>
  </si>
  <si>
    <t>NGUYỄN VĂN TUẤN</t>
  </si>
  <si>
    <t>Thôn Trung An</t>
  </si>
  <si>
    <t>10.47.47.135</t>
  </si>
  <si>
    <t>HUE-PVG-PHO</t>
  </si>
  <si>
    <t>E0-D5-5E-0B-8F-B8</t>
  </si>
  <si>
    <t>Phú Lương</t>
  </si>
  <si>
    <t>10.47.47.136</t>
  </si>
  <si>
    <t>HUE-PVG-PLG</t>
  </si>
  <si>
    <t>48-4D-7E-DE-28-86</t>
  </si>
  <si>
    <t>Dell</t>
  </si>
  <si>
    <t>Dell Optiplex 3040</t>
  </si>
  <si>
    <t>Thôn Đông A</t>
  </si>
  <si>
    <t>Phú Xuân</t>
  </si>
  <si>
    <t>10.47.47.142</t>
  </si>
  <si>
    <t>HUE-PVG-PXN</t>
  </si>
  <si>
    <t>Thôn Quảng Xuyên</t>
  </si>
  <si>
    <t>Phú Vang</t>
  </si>
  <si>
    <t>Bưu điện xã Phú Vang</t>
  </si>
  <si>
    <t>10.47.60.201</t>
  </si>
  <si>
    <t>HUE-PVG-BCCP</t>
  </si>
  <si>
    <t>38-22-E2-18-90-A9</t>
  </si>
  <si>
    <t>8CC01131XC</t>
  </si>
  <si>
    <t>Thôn Hòa Tây</t>
  </si>
  <si>
    <t>10.47.60.60</t>
  </si>
  <si>
    <t>HUE-PVG-GDTT03</t>
  </si>
  <si>
    <t>E0-D5-5E-06-9C-65</t>
  </si>
  <si>
    <t>Windows 10 Pro N</t>
  </si>
  <si>
    <t>10.47.60.64</t>
  </si>
  <si>
    <t>HUE-PVG-YENLTH</t>
  </si>
  <si>
    <t>A0-36-BC-3B-55-68</t>
  </si>
  <si>
    <t>KSV TCBC</t>
  </si>
  <si>
    <t>10.47.60.68</t>
  </si>
  <si>
    <t>HUE-PVG-GDTT01</t>
  </si>
  <si>
    <t>E0-D5-5E-0A-3C-6C</t>
  </si>
  <si>
    <t>10.47.47.156</t>
  </si>
  <si>
    <t>Vinh Thái</t>
  </si>
  <si>
    <t>10.47.47.131</t>
  </si>
  <si>
    <t>HUE-PVG-VTI</t>
  </si>
  <si>
    <t>18-66-DA-28-7E-DC</t>
  </si>
  <si>
    <t>64JL8F2</t>
  </si>
  <si>
    <t>SSD 128GB</t>
  </si>
  <si>
    <t>Thôn Thanh Lam Bồ</t>
  </si>
  <si>
    <t>Vinh Hà</t>
  </si>
  <si>
    <t>10.47.47.145</t>
  </si>
  <si>
    <t>HUE-PVG-VHA</t>
  </si>
  <si>
    <t>E0-D5-5E-06-9F-6B</t>
  </si>
  <si>
    <t>HDD 466GB + SSD 224GB</t>
  </si>
  <si>
    <t>VP BĐH Phú Vang</t>
  </si>
  <si>
    <t>10.47.60.48</t>
  </si>
  <si>
    <t>HUE-PVG-HCC</t>
  </si>
  <si>
    <t>B8-85-84-AA-F5-82</t>
  </si>
  <si>
    <t>71Y5BS2</t>
  </si>
  <si>
    <t>Cửa Tư Hiền</t>
  </si>
  <si>
    <t>Bưu điện xã Vinh Lộc</t>
  </si>
  <si>
    <t>10.47.47.159</t>
  </si>
  <si>
    <t>HUE-PLC-CTH</t>
  </si>
  <si>
    <t>B8-85-84-AA-F3-B1</t>
  </si>
  <si>
    <t>72N8BS2</t>
  </si>
  <si>
    <t>Windows 10 Pro for Workstations</t>
  </si>
  <si>
    <t>Bưu điện Phú Lộc</t>
  </si>
  <si>
    <t>5328</t>
  </si>
  <si>
    <t>Thôn Hiền Vân 1</t>
  </si>
  <si>
    <t>Phụng Chánh</t>
  </si>
  <si>
    <t>10.47.47.164</t>
  </si>
  <si>
    <t>HUE-VLC-PCH</t>
  </si>
  <si>
    <t>B8-85-84-AA-F3-B2</t>
  </si>
  <si>
    <t>Thôn Phụng Chánh</t>
  </si>
  <si>
    <t>Vinh Hưng</t>
  </si>
  <si>
    <t>10.47.47.176</t>
  </si>
  <si>
    <t>HUE-PLC-VHG1</t>
  </si>
  <si>
    <t>38-22-E2-18-93-9B</t>
  </si>
  <si>
    <t>8CC01133D6</t>
  </si>
  <si>
    <t>Thôn Diêm Trường</t>
  </si>
  <si>
    <t>Vinh Mỹ</t>
  </si>
  <si>
    <t>10.47.47.177</t>
  </si>
  <si>
    <t>HUE-PLC-VMY</t>
  </si>
  <si>
    <t>D0-17-C2-9B-34-77</t>
  </si>
  <si>
    <t>AMD A6-7400K</t>
  </si>
  <si>
    <t>3GB</t>
  </si>
  <si>
    <t>La Sơn</t>
  </si>
  <si>
    <t>Bưu điện xã Hưng Lộc</t>
  </si>
  <si>
    <t>10.47.47.129</t>
  </si>
  <si>
    <t>HUE-HLC-GD</t>
  </si>
  <si>
    <t>08-BF-B8-85-93-B7</t>
  </si>
  <si>
    <t>UNKNOWN 233GB</t>
  </si>
  <si>
    <t>Thôn Vinh Sơn</t>
  </si>
  <si>
    <t>10.47.47.85</t>
  </si>
  <si>
    <t>HUE-PLC-LSN2</t>
  </si>
  <si>
    <t>50-AF-73-38-23-B9</t>
  </si>
  <si>
    <t>P101GV6821183885</t>
  </si>
  <si>
    <t>Lộc Sơn</t>
  </si>
  <si>
    <t>10.47.47.172</t>
  </si>
  <si>
    <t>HUE-PLC-LOCSON</t>
  </si>
  <si>
    <t>B8-85-84-B0-F7-06</t>
  </si>
  <si>
    <t>B0NS8T2</t>
  </si>
  <si>
    <t>Thôn La Sơn</t>
  </si>
  <si>
    <t>Lộc An</t>
  </si>
  <si>
    <t>Bưu điện xã Lộc An</t>
  </si>
  <si>
    <t>10.47.47.167</t>
  </si>
  <si>
    <t>HUE-PLC-LAN</t>
  </si>
  <si>
    <t>C4-34-6B-67-27-84</t>
  </si>
  <si>
    <t>Hewlett-Packard</t>
  </si>
  <si>
    <t>N/A</t>
  </si>
  <si>
    <t>Thôn Bắc Trung</t>
  </si>
  <si>
    <t>10.47.47.59</t>
  </si>
  <si>
    <t>Phú Lộc</t>
  </si>
  <si>
    <t>Bưu điện xã Phú Lộc</t>
  </si>
  <si>
    <t>10.47.57.151</t>
  </si>
  <si>
    <t>HUE-PLC-LOANNTT</t>
  </si>
  <si>
    <t>40-A8-F0-61-39-FC</t>
  </si>
  <si>
    <t>HP ProDesk 600 G1 SFF</t>
  </si>
  <si>
    <t>SGH432Q6JD</t>
  </si>
  <si>
    <t>Intel i3 4150 3.50GHz</t>
  </si>
  <si>
    <t>NGUYỄN THỊ THÙY LOAN</t>
  </si>
  <si>
    <t>118 Đường Lý Thánh Tông</t>
  </si>
  <si>
    <t>Lộc Bình</t>
  </si>
  <si>
    <t>10.47.47.168</t>
  </si>
  <si>
    <t>HUE-PLC-LBH</t>
  </si>
  <si>
    <t>38-22-E2-18-8D-5A</t>
  </si>
  <si>
    <t>8CC01132LK</t>
  </si>
  <si>
    <t>Thôn Hòa An</t>
  </si>
  <si>
    <t>VP BĐH Phú Lộc</t>
  </si>
  <si>
    <t>10.47.57.52</t>
  </si>
  <si>
    <t>HUE-PLC-TAMNCT</t>
  </si>
  <si>
    <t>00-E0-1E-79-40-0A</t>
  </si>
  <si>
    <t>INTEL</t>
  </si>
  <si>
    <t>H61</t>
  </si>
  <si>
    <t>Intel G2030 3.0GHz</t>
  </si>
  <si>
    <t>HOÀNG THỊ HỒNG VÂN</t>
  </si>
  <si>
    <t>Lăng Cô</t>
  </si>
  <si>
    <t>Bưu điện xã Chân Mây - Lăng Cô</t>
  </si>
  <si>
    <t>10.47.47.163</t>
  </si>
  <si>
    <t>HUE-PLC-LCO</t>
  </si>
  <si>
    <t>B8-85-84-AA-EF-9E</t>
  </si>
  <si>
    <t>72GFBS2</t>
  </si>
  <si>
    <t>Đường Lạc Long Quân</t>
  </si>
  <si>
    <t>Lộc Vĩnh</t>
  </si>
  <si>
    <t>10.47.47.180</t>
  </si>
  <si>
    <t>HUE-PLC-LVH</t>
  </si>
  <si>
    <t>B8-85-84-AB-10-1B</t>
  </si>
  <si>
    <t>72Z5BS2</t>
  </si>
  <si>
    <t>Intel i3 6100 3.7GHz</t>
  </si>
  <si>
    <t>Thôn Bình An 1</t>
  </si>
  <si>
    <t>Thừa Lưu</t>
  </si>
  <si>
    <t>10.47.47.165</t>
  </si>
  <si>
    <t>HUE-PLC-TLU</t>
  </si>
  <si>
    <t>B8-85-84-B1-0E-B5</t>
  </si>
  <si>
    <t>9XMR8T2</t>
  </si>
  <si>
    <t>Thôn Trung Kiền</t>
  </si>
  <si>
    <t>Hương Hữu</t>
  </si>
  <si>
    <t>Bưu điện xã Nam Đông</t>
  </si>
  <si>
    <t>10.47.47.188</t>
  </si>
  <si>
    <t>HUE-NDG-HHU</t>
  </si>
  <si>
    <t>C0-25-E9-1F-03-5F</t>
  </si>
  <si>
    <t>Windows 10 Enterprise N LTSC 2019</t>
  </si>
  <si>
    <t>UNKNOWN 149GB</t>
  </si>
  <si>
    <t>Thượng Long</t>
  </si>
  <si>
    <t>10.47.47.193</t>
  </si>
  <si>
    <t>HUE-NDG-TLG</t>
  </si>
  <si>
    <t>38-22-E2-17-62-4A</t>
  </si>
  <si>
    <t>8CC011320V</t>
  </si>
  <si>
    <t>Ấp , Đội 6</t>
  </si>
  <si>
    <t>Hương Giang</t>
  </si>
  <si>
    <t>10.47.47.186</t>
  </si>
  <si>
    <t>HUE-NDG-HGG</t>
  </si>
  <si>
    <t>B8-85-84-AF-39-F9</t>
  </si>
  <si>
    <t>9XYP8T2</t>
  </si>
  <si>
    <t>Thôn Thuận Hòa</t>
  </si>
  <si>
    <t>Hương Sơn</t>
  </si>
  <si>
    <t>10.47.47.191</t>
  </si>
  <si>
    <t>HUE-NDG-HSN</t>
  </si>
  <si>
    <t>B8-85-84-AA-EA-C9</t>
  </si>
  <si>
    <t>7349BS2</t>
  </si>
  <si>
    <t>Thôn 3 (ka Chê)</t>
  </si>
  <si>
    <t>Thượng Nhật</t>
  </si>
  <si>
    <t>10.47.47.194</t>
  </si>
  <si>
    <t>HUE-VHX-TNT</t>
  </si>
  <si>
    <t>38-22-E2-18-91-00</t>
  </si>
  <si>
    <t>8CC01133F5</t>
  </si>
  <si>
    <t>Thôn A Tin</t>
  </si>
  <si>
    <t>VP BĐH Nam Đông</t>
  </si>
  <si>
    <t>10.47.58.13</t>
  </si>
  <si>
    <t>HUE-NDG-DOLQ</t>
  </si>
  <si>
    <t>98-40-BB-0A-11-73</t>
  </si>
  <si>
    <t>Latitude 3460</t>
  </si>
  <si>
    <t>FMVS3C2</t>
  </si>
  <si>
    <t>Intel Core i3-5005U</t>
  </si>
  <si>
    <t>GĐ</t>
  </si>
  <si>
    <t>192 Khu vực II</t>
  </si>
  <si>
    <t>Nam Đông</t>
  </si>
  <si>
    <t>Bưu điện xã Khe Tre</t>
  </si>
  <si>
    <t>10.47.47.60</t>
  </si>
  <si>
    <t>HUE-PLC-ANHTTT</t>
  </si>
  <si>
    <t>C4-34-6B-4F-73-B9</t>
  </si>
  <si>
    <t>SGH432QCVZ</t>
  </si>
  <si>
    <t>Intel Core i3-4330</t>
  </si>
  <si>
    <t>TRÂM ANH</t>
  </si>
  <si>
    <t>Khu Vực Ii</t>
  </si>
  <si>
    <t>10.47.58.14</t>
  </si>
  <si>
    <t>HUE-KTE-NDG1</t>
  </si>
  <si>
    <t>50-AF-73-38-1F-A8</t>
  </si>
  <si>
    <t>P101GV6821181109</t>
  </si>
  <si>
    <t>10.47.58.55</t>
  </si>
  <si>
    <t>HUE-NDG-KSV</t>
  </si>
  <si>
    <t>B8-85-84-AB-0B-4B</t>
  </si>
  <si>
    <t>731GBS2</t>
  </si>
  <si>
    <t>HẰNG</t>
  </si>
  <si>
    <t>Hương Lộc</t>
  </si>
  <si>
    <t>10.47.47.189</t>
  </si>
  <si>
    <t>HUE-KTE-HLC</t>
  </si>
  <si>
    <t>B8-85-84-B0-FE-C9</t>
  </si>
  <si>
    <t>B0BW8T2</t>
  </si>
  <si>
    <t>Hương Phú</t>
  </si>
  <si>
    <t>10.47.47.190</t>
  </si>
  <si>
    <t>HUE-NDG-HPU</t>
  </si>
  <si>
    <t>H81M-S2PV</t>
  </si>
  <si>
    <t>Thôn Hà An</t>
  </si>
  <si>
    <t>Bình Điền</t>
  </si>
  <si>
    <t>Bưu điện xã Bình Điền</t>
  </si>
  <si>
    <t>10.47.47.40</t>
  </si>
  <si>
    <t>HUE-BDN-BDN</t>
  </si>
  <si>
    <t>B0-6E-BF-5A-C9-DC</t>
  </si>
  <si>
    <t>Thôn Bình Lợi</t>
  </si>
  <si>
    <t>Bình Thành</t>
  </si>
  <si>
    <t>10.47.47.42</t>
  </si>
  <si>
    <t>HUE-HTA-BTH</t>
  </si>
  <si>
    <t>Thôn Tam Hiệp</t>
  </si>
  <si>
    <t>Hương Bình</t>
  </si>
  <si>
    <t>10.47.47.46</t>
  </si>
  <si>
    <t>HUE-HTA-HVAWN</t>
  </si>
  <si>
    <t>Thôn Hải Tân</t>
  </si>
  <si>
    <t>Hồng Trung</t>
  </si>
  <si>
    <t>Bưu điện xã A Lưới 2</t>
  </si>
  <si>
    <t>10.47.47.214</t>
  </si>
  <si>
    <t>HUE-ALI-HTRG</t>
  </si>
  <si>
    <t>B8-85-84-B1-19-46</t>
  </si>
  <si>
    <t>9ZBS8T2</t>
  </si>
  <si>
    <t>Bưu điện A Lưới</t>
  </si>
  <si>
    <t>Thôn 1</t>
  </si>
  <si>
    <t>A Lưới</t>
  </si>
  <si>
    <t>10.47.61.38</t>
  </si>
  <si>
    <t>HUE-ALI-TIENPV</t>
  </si>
  <si>
    <t>B8-85-84-AB-00-54</t>
  </si>
  <si>
    <t>7956BS2</t>
  </si>
  <si>
    <t>PHAN VĂN TIẾN</t>
  </si>
  <si>
    <t>184 Đường Hồ Chí Minh</t>
  </si>
  <si>
    <t>10.47.61.43</t>
  </si>
  <si>
    <t>HUE-ALI-NIHCM</t>
  </si>
  <si>
    <t>58-11-22-49-69-02</t>
  </si>
  <si>
    <t>HỒ THỊ KIẾN ĐẠT</t>
  </si>
  <si>
    <t>VP BĐH A Lưới</t>
  </si>
  <si>
    <t>10.47.61.35</t>
  </si>
  <si>
    <t>HUE-ALI-TIENNV</t>
  </si>
  <si>
    <t>B8-85-84-AB-03-97</t>
  </si>
  <si>
    <t>7G49BS2</t>
  </si>
  <si>
    <t>SSD 932GB</t>
  </si>
  <si>
    <t>10.47.61.40</t>
  </si>
  <si>
    <t>HUE-ALI-THANHNT</t>
  </si>
  <si>
    <t>38-22-E2-18-89-0E</t>
  </si>
  <si>
    <t>8CC01132RD</t>
  </si>
  <si>
    <t>NGUYỄN THỊ THANH</t>
  </si>
  <si>
    <t>Hồng Thái</t>
  </si>
  <si>
    <t>Bưu điện xã A Lưới 3</t>
  </si>
  <si>
    <t>10.47.47.211</t>
  </si>
  <si>
    <t>HUE-ALI-HTI</t>
  </si>
  <si>
    <t>00-D8-61-10-18-DE</t>
  </si>
  <si>
    <t>Thôn A Vinh</t>
  </si>
  <si>
    <t>Sơn Thủy</t>
  </si>
  <si>
    <t>10.47.47.221</t>
  </si>
  <si>
    <t>HUE-ALI-STY</t>
  </si>
  <si>
    <t>8CC011320B</t>
  </si>
  <si>
    <t>SSD 149GB</t>
  </si>
  <si>
    <t>Thôn Quảng Thọ</t>
  </si>
  <si>
    <t>A Roàng</t>
  </si>
  <si>
    <t>10.47.47.204</t>
  </si>
  <si>
    <t>HUE-AL3-ARG</t>
  </si>
  <si>
    <t>48-4D-7E-DE-26-26</t>
  </si>
  <si>
    <t>40S91H2</t>
  </si>
  <si>
    <t>Thôn A Roàng 1</t>
  </si>
  <si>
    <t>Đông Sơn</t>
  </si>
  <si>
    <t>10.47.47.206</t>
  </si>
  <si>
    <t>HUE-ALI-DSN</t>
  </si>
  <si>
    <t>00-D8-61-10-20-E4</t>
  </si>
  <si>
    <t>Thôn Loa</t>
  </si>
  <si>
    <t>Hồng Hạ</t>
  </si>
  <si>
    <t>10.47.47.208</t>
  </si>
  <si>
    <t>HUE-AL3-HHA</t>
  </si>
  <si>
    <t>D0-17-C2-9B-34-76</t>
  </si>
  <si>
    <t>Thôn Pa Ring</t>
  </si>
  <si>
    <t>Hương Nguyên</t>
  </si>
  <si>
    <t>10.47.47.217</t>
  </si>
  <si>
    <t>HUE-ALI-HNN</t>
  </si>
  <si>
    <t>B8-85-84-B1-46-84</t>
  </si>
  <si>
    <t>BD7W8T2</t>
  </si>
  <si>
    <t>Thôn Nghĩa</t>
  </si>
  <si>
    <t>Phú Dương</t>
  </si>
  <si>
    <t>Bưu điện phường Dương Nỗ</t>
  </si>
  <si>
    <t>10.47.47.134</t>
  </si>
  <si>
    <t>HUE-DNO-PDG</t>
  </si>
  <si>
    <t>B8-85-84-AB-18-65</t>
  </si>
  <si>
    <t>79MCBS2</t>
  </si>
  <si>
    <t>Thôn Dương Nổ Tây</t>
  </si>
  <si>
    <t>Phú Mậu</t>
  </si>
  <si>
    <t>10.47.47.137</t>
  </si>
  <si>
    <t>HUE-DNO-PMU</t>
  </si>
  <si>
    <t>B8-85-84-B1-16-97</t>
  </si>
  <si>
    <t>B07R8T2</t>
  </si>
  <si>
    <t>Thôn Mậu Tài</t>
  </si>
  <si>
    <t>10.47.32.143</t>
  </si>
  <si>
    <t>HUE-TTKD-DUY</t>
  </si>
  <si>
    <t>F4-4D-30-4A-C0-CF</t>
  </si>
  <si>
    <t>Core i3 8100</t>
  </si>
  <si>
    <t>Huế Thành</t>
  </si>
  <si>
    <t>Bưu điện phường Phú Xuân</t>
  </si>
  <si>
    <t>10.47.47.12</t>
  </si>
  <si>
    <t>HUE-TP-HTH</t>
  </si>
  <si>
    <t>50-AF-73-38-20-BE</t>
  </si>
  <si>
    <t>P101GV6821181602</t>
  </si>
  <si>
    <t>25 Đường Mai Thúc Loan</t>
  </si>
  <si>
    <t>10.47.47.57</t>
  </si>
  <si>
    <t>HUE-TP-PHX-NGA</t>
  </si>
  <si>
    <t>F8-BC-12-A0-1B-EA</t>
  </si>
  <si>
    <t>4QXBH32</t>
  </si>
  <si>
    <t>KIỀU NGA</t>
  </si>
  <si>
    <t>10.47.47.210</t>
  </si>
  <si>
    <t>HUE-PXN-HTH1</t>
  </si>
  <si>
    <t>1C-1B-0D-8F-60-90</t>
  </si>
  <si>
    <t>H110M-DS2</t>
  </si>
  <si>
    <t>10.47.47.11</t>
  </si>
  <si>
    <t>HUE-PXN-HCC</t>
  </si>
  <si>
    <t>64-00-6A-08-D6-19</t>
  </si>
  <si>
    <t>BBSL862</t>
  </si>
  <si>
    <t>BƯU CỤC SỐ</t>
  </si>
  <si>
    <t>Tây Lộc</t>
  </si>
  <si>
    <t>10.47.47.16</t>
  </si>
  <si>
    <t>HUE-THPX-TLC1</t>
  </si>
  <si>
    <t>F8-BC-12-A5-7E-62</t>
  </si>
  <si>
    <t>9RWBH32</t>
  </si>
  <si>
    <t>136 Đường Hoàng Diệu</t>
  </si>
  <si>
    <t>Trần Hưng Đạo</t>
  </si>
  <si>
    <t>10.47.47.17</t>
  </si>
  <si>
    <t>HUE-TP-THD1</t>
  </si>
  <si>
    <t>B8-85-84-AB-17-D0</t>
  </si>
  <si>
    <t>7G0BBS2</t>
  </si>
  <si>
    <t>91 Đường Trần Hưng Đạo</t>
  </si>
  <si>
    <t>10.47.47.78</t>
  </si>
  <si>
    <t>HUE-PXN-THD3</t>
  </si>
  <si>
    <t>F8-BC-12-A5-7F-B6</t>
  </si>
  <si>
    <t>9GXBH32</t>
  </si>
  <si>
    <t>10.47.47.18</t>
  </si>
  <si>
    <t>Hương Trà</t>
  </si>
  <si>
    <t>Bưu điện phường Hương Trà</t>
  </si>
  <si>
    <t>10.47.62.60</t>
  </si>
  <si>
    <t>PDN-CHITRA3</t>
  </si>
  <si>
    <t>F0-03-8C-4E-2B-2D</t>
  </si>
  <si>
    <t>ASUSTeK COMPUTER INC.</t>
  </si>
  <si>
    <t>X441SA</t>
  </si>
  <si>
    <t>GCN0WU033200498</t>
  </si>
  <si>
    <t>Intel Celeron N3060</t>
  </si>
  <si>
    <t>105 Đường Cách Mạng Tháng Tám</t>
  </si>
  <si>
    <t>10.47.62.63</t>
  </si>
  <si>
    <t>HUE-PDN-TANTV</t>
  </si>
  <si>
    <t>F4-4D-30-ED-39-4C</t>
  </si>
  <si>
    <t>H110M4-C33</t>
  </si>
  <si>
    <t>HDD 932GB + SSD 224GB</t>
  </si>
  <si>
    <t>TRẦN VĂN TẤN</t>
  </si>
  <si>
    <t>10.47.62.68</t>
  </si>
  <si>
    <t>HUE-HTA-GDTT02</t>
  </si>
  <si>
    <t>50-AF-73-38-21-F8</t>
  </si>
  <si>
    <t>P101GV6821181837</t>
  </si>
  <si>
    <t>10.47.62.70</t>
  </si>
  <si>
    <t>HUE-HTA-GDTT03</t>
  </si>
  <si>
    <t>2C-F0-5D-AD-38-BC</t>
  </si>
  <si>
    <t>MS-7C09</t>
  </si>
  <si>
    <t>10.47.62.85</t>
  </si>
  <si>
    <t>HUE-HTA-GDTT01</t>
  </si>
  <si>
    <t>50-9A-4C-11-08-A0</t>
  </si>
  <si>
    <t>1YQXCK2</t>
  </si>
  <si>
    <t xml:space="preserve">Intel Pentium G4400 </t>
  </si>
  <si>
    <t>192.168.0.102</t>
  </si>
  <si>
    <t>ADMIN</t>
  </si>
  <si>
    <t>30-C5-99-18-9E-BD</t>
  </si>
  <si>
    <t>TRẦN THẾ ÂN</t>
  </si>
  <si>
    <t>VP BĐH Hương Trà</t>
  </si>
  <si>
    <t>10.47.62.126</t>
  </si>
  <si>
    <t>HUE-HTA-BHXH</t>
  </si>
  <si>
    <t>F8-BC-12-A4-3A-F6</t>
  </si>
  <si>
    <t>7TZ8H32</t>
  </si>
  <si>
    <t>CQ</t>
  </si>
  <si>
    <t>10.47.62.172</t>
  </si>
  <si>
    <t>HUE-HTA-TIENTTT</t>
  </si>
  <si>
    <t>60-CF-84-D9-91-72</t>
  </si>
  <si>
    <t>Intel G5420 3.80GHz</t>
  </si>
  <si>
    <t>THÂN THỊ THỦY TIÊN</t>
  </si>
  <si>
    <t>Hương Vân</t>
  </si>
  <si>
    <t>10.47.47.53</t>
  </si>
  <si>
    <t>HUE-HTA-HVAAN</t>
  </si>
  <si>
    <t>Thôn Lại Bằng</t>
  </si>
  <si>
    <t>Hương Toàn</t>
  </si>
  <si>
    <t>Bưu điện phường Kim Trà</t>
  </si>
  <si>
    <t>10.47.47.162</t>
  </si>
  <si>
    <t>HUE-KIMTRA-GD</t>
  </si>
  <si>
    <t>F4-28-53-1E-6F-9B</t>
  </si>
  <si>
    <t>MS-7B28</t>
  </si>
  <si>
    <t>Intel G5920 3.5Ghz</t>
  </si>
  <si>
    <t>SSD 224GB + SSD 119GB</t>
  </si>
  <si>
    <t>THÚY PHƯƠNG</t>
  </si>
  <si>
    <t>Thôn Giáp Tây</t>
  </si>
  <si>
    <t>10.47.47.52</t>
  </si>
  <si>
    <t>HUE-HTA-HTN</t>
  </si>
  <si>
    <t>10-7C-61-D5-F5-AC</t>
  </si>
  <si>
    <t>HDD 466GB + SSD 119GB</t>
  </si>
  <si>
    <t>Hương Xuân</t>
  </si>
  <si>
    <t>10.47.47.56</t>
  </si>
  <si>
    <t>HUE-HTA-HXN</t>
  </si>
  <si>
    <t>B8-85-84-AF-5A-19</t>
  </si>
  <si>
    <t>BD3S8T2</t>
  </si>
  <si>
    <t>Thôn Thanh Lương I</t>
  </si>
  <si>
    <t>Hương Chữ</t>
  </si>
  <si>
    <t>10.47.47.48</t>
  </si>
  <si>
    <t>HUE-HTA-HCU</t>
  </si>
  <si>
    <t>A0-AD-9F-04-EB-4A</t>
  </si>
  <si>
    <t>Thôn La Chữ</t>
  </si>
  <si>
    <t>BCVH Hương Trà</t>
  </si>
  <si>
    <t>PH2</t>
  </si>
  <si>
    <t>10.47.62.125</t>
  </si>
  <si>
    <t>HUE-VHHT-03</t>
  </si>
  <si>
    <t>B8-85-84-AF-4C-D1</t>
  </si>
  <si>
    <t>B19N8T2</t>
  </si>
  <si>
    <t>10.47.62.38</t>
  </si>
  <si>
    <t>HUE-VHHT-04</t>
  </si>
  <si>
    <t>B8-85-84-AA-FD-47</t>
  </si>
  <si>
    <t>7G57BS2</t>
  </si>
  <si>
    <t>10.47.62.44</t>
  </si>
  <si>
    <t>HUE-VHHT-01</t>
  </si>
  <si>
    <t>18-C0-4D-B7-BC-A0</t>
  </si>
  <si>
    <t>B460M GAMING HD</t>
  </si>
  <si>
    <t>Intel i5-10400 2.9GHz</t>
  </si>
  <si>
    <t>SSD 112GB + HDD 466GB</t>
  </si>
  <si>
    <t>10.47.62.46</t>
  </si>
  <si>
    <t>HUE-VHHT-02</t>
  </si>
  <si>
    <t>F8-BC-12-A2-D8-E7</t>
  </si>
  <si>
    <t>9KXBH32</t>
  </si>
  <si>
    <t>10.47.62.50</t>
  </si>
  <si>
    <t>HUE-KTNV-THUAN</t>
  </si>
  <si>
    <t>58-11-22-8D-8A-66</t>
  </si>
  <si>
    <t>TRẦN THUẬN</t>
  </si>
  <si>
    <t>10.47.62.59</t>
  </si>
  <si>
    <t>HUE-VHHT-05</t>
  </si>
  <si>
    <t>9C-6B-00-38-52-22</t>
  </si>
  <si>
    <t>0</t>
  </si>
  <si>
    <t>KT Hương Trà</t>
  </si>
  <si>
    <t>KT Phong Điền</t>
  </si>
  <si>
    <t xml:space="preserve">KT Quảng Điền </t>
  </si>
  <si>
    <t>Thôn Khuôn Phò Nam</t>
  </si>
  <si>
    <t>KHL Phong Điền</t>
  </si>
  <si>
    <t>128 Đường Phò Trạch</t>
  </si>
  <si>
    <t>BCVH Hương Thủy</t>
  </si>
  <si>
    <t>10.47.65.26</t>
  </si>
  <si>
    <t>HUE-VHHTY-03</t>
  </si>
  <si>
    <t>B8-85-84-AB-09-7D</t>
  </si>
  <si>
    <t>71X8BS2</t>
  </si>
  <si>
    <t>10.47.65.15</t>
  </si>
  <si>
    <t>HUE-VHHTY-01</t>
  </si>
  <si>
    <t>B8-85-84-AB-16-FC</t>
  </si>
  <si>
    <t>7FZ7BS2</t>
  </si>
  <si>
    <t>10.47.65.16</t>
  </si>
  <si>
    <t>HUE-VHHTY-02</t>
  </si>
  <si>
    <t>48-4D-7E-DE-2B-19</t>
  </si>
  <si>
    <t>3YJ51H2</t>
  </si>
  <si>
    <t>Intel i3-6100T</t>
  </si>
  <si>
    <t>KT Hương Thủy</t>
  </si>
  <si>
    <t>272 Đường Nguyễn Tất Thành</t>
  </si>
  <si>
    <t xml:space="preserve">KT Phú Vang </t>
  </si>
  <si>
    <t>KHL Hương Thủy</t>
  </si>
  <si>
    <t>Khu CN Phú Bài</t>
  </si>
  <si>
    <t>BCP Phú Vang (TD)</t>
  </si>
  <si>
    <t>BCVH Thuận An</t>
  </si>
  <si>
    <t>10.47.47.126</t>
  </si>
  <si>
    <t>HUE-TTVH-TAN</t>
  </si>
  <si>
    <t>64-00-6A-06-2B-75</t>
  </si>
  <si>
    <t>B10G862</t>
  </si>
  <si>
    <t>12GB</t>
  </si>
  <si>
    <t>Trung tâm khai thác Huế</t>
  </si>
  <si>
    <t>Khách hàng lớn</t>
  </si>
  <si>
    <t>BCVH Thuận Hóa</t>
  </si>
  <si>
    <t>10.47.12.110</t>
  </si>
  <si>
    <t>HUE-TP-LANHT</t>
  </si>
  <si>
    <t>D8-9E-F3-8D-46-55</t>
  </si>
  <si>
    <t>1901TR2</t>
  </si>
  <si>
    <t>HUỲNH THU LÂN</t>
  </si>
  <si>
    <t>10.47.12.139</t>
  </si>
  <si>
    <t>HUE-TTVH-KHL05</t>
  </si>
  <si>
    <t>70-4D-7B-68-61-2D</t>
  </si>
  <si>
    <t>10.47.12.213</t>
  </si>
  <si>
    <t>HUE-TP-ANHHNQ</t>
  </si>
  <si>
    <t>F8-BC-12-A4-38-72</t>
  </si>
  <si>
    <t>JQZ8H32</t>
  </si>
  <si>
    <t>QUỲNH ANH</t>
  </si>
  <si>
    <t>10.47.12.64</t>
  </si>
  <si>
    <t>HUE-TTVH-CHAUTB</t>
  </si>
  <si>
    <t>60-45-CB-6E-72-E9</t>
  </si>
  <si>
    <t>10.47.12.71</t>
  </si>
  <si>
    <t>HUE-TP-TMDT01</t>
  </si>
  <si>
    <t>A8-A1-59-2D-C0-F7</t>
  </si>
  <si>
    <t>10.47.12.94</t>
  </si>
  <si>
    <t>HUE-TP-TMDT08</t>
  </si>
  <si>
    <t>70-4D-7B-68-64-7E</t>
  </si>
  <si>
    <t>10.47.12.76</t>
  </si>
  <si>
    <t>HUE-TP-TMDT07</t>
  </si>
  <si>
    <t>70-4D-7B-67-4B-5F</t>
  </si>
  <si>
    <t>10.47.12.77</t>
  </si>
  <si>
    <t>HUE-TTVH-KHL04</t>
  </si>
  <si>
    <t>D8-9E-F3-8D-49-CD</t>
  </si>
  <si>
    <t>1972TR2</t>
  </si>
  <si>
    <t>10.47.12.79</t>
  </si>
  <si>
    <t>HUE-TP-KHL01</t>
  </si>
  <si>
    <t>D8-5E-D3-76-C3-66</t>
  </si>
  <si>
    <t>10.47.12.82</t>
  </si>
  <si>
    <t>HUE-TP-KHL02</t>
  </si>
  <si>
    <t>30-56-0F-53-80-E5</t>
  </si>
  <si>
    <t>H610M H V3 DDR4</t>
  </si>
  <si>
    <t>Intel i3 1310 3.4GHz</t>
  </si>
  <si>
    <t>10.47.12.83</t>
  </si>
  <si>
    <t>HUE-TTVH-KT1</t>
  </si>
  <si>
    <t>D0-27-88-C4-6B-9F</t>
  </si>
  <si>
    <t>ASRock H61M</t>
  </si>
  <si>
    <t>Intel G630 2.7GHz</t>
  </si>
  <si>
    <t xml:space="preserve">BCP Huế Ô Tô </t>
  </si>
  <si>
    <t>10.47.12.177</t>
  </si>
  <si>
    <t>HUE-TTVH-OTO01</t>
  </si>
  <si>
    <t>58-11-22-8E-52-44</t>
  </si>
  <si>
    <t>PH1</t>
  </si>
  <si>
    <t>10.47.12.129</t>
  </si>
  <si>
    <t>HUE-TTVH-THA01</t>
  </si>
  <si>
    <t>F8-BC-12-A4-37-39</t>
  </si>
  <si>
    <t>HG5V6C2</t>
  </si>
  <si>
    <t>10.47.12.130</t>
  </si>
  <si>
    <t>HUE-TTVH-THA02</t>
  </si>
  <si>
    <t>9C-6B-00-38-52-0D</t>
  </si>
  <si>
    <t>YẾN+HIỀN (PHBC)</t>
  </si>
  <si>
    <t>10.47.12.154</t>
  </si>
  <si>
    <t>HUE-TTVH-THA07</t>
  </si>
  <si>
    <t>9C-6B-00-38-52-1C</t>
  </si>
  <si>
    <t>10.47.12.160</t>
  </si>
  <si>
    <t>HUE-TTVH-THA04</t>
  </si>
  <si>
    <t>64-00-6A-09-50-13</t>
  </si>
  <si>
    <t>BBZK862</t>
  </si>
  <si>
    <t>10.47.12.161</t>
  </si>
  <si>
    <t>HUE-TTVH-THA05</t>
  </si>
  <si>
    <t>64-00-6A-09-50-12</t>
  </si>
  <si>
    <t>BC0LH62</t>
  </si>
  <si>
    <t>10.47.12.163</t>
  </si>
  <si>
    <t>HUE-TTVH-THA03</t>
  </si>
  <si>
    <t>F8-BC-12-A4-38-6A</t>
  </si>
  <si>
    <t>8BZ8H32</t>
  </si>
  <si>
    <t>10.47.12.171</t>
  </si>
  <si>
    <t>HUE-TTVH-THA06</t>
  </si>
  <si>
    <t>64-00-6A-06-2B-56</t>
  </si>
  <si>
    <t>B0VGH62</t>
  </si>
  <si>
    <t>KTC2 TP Huế</t>
  </si>
  <si>
    <t>Huế Bắc (TD)</t>
  </si>
  <si>
    <t>02 Đường Nguyễn Văn Linh</t>
  </si>
  <si>
    <t>BCP Huế 3 (TD)</t>
  </si>
  <si>
    <t>BCVH Phú Lộc</t>
  </si>
  <si>
    <t>10.47.57.13</t>
  </si>
  <si>
    <t>HUE-VHPL3</t>
  </si>
  <si>
    <t>C4-34-6B-4F-E3-A1</t>
  </si>
  <si>
    <t>SGH432QF6Q</t>
  </si>
  <si>
    <t>10.47.57.15</t>
  </si>
  <si>
    <t>HUE-VHPL1</t>
  </si>
  <si>
    <t>E8-9C-25-98-96-D7</t>
  </si>
  <si>
    <t>10.47.57.37</t>
  </si>
  <si>
    <t>HUE-VHPL2</t>
  </si>
  <si>
    <t>38-22-E2-19-3D-9A</t>
  </si>
  <si>
    <t>8CC01133DF</t>
  </si>
  <si>
    <t>HDD 466GB + SSD 466GB</t>
  </si>
  <si>
    <t>KT Nam Đông</t>
  </si>
  <si>
    <t xml:space="preserve">KT Phú Lộc </t>
  </si>
  <si>
    <t>BCVH A Lưới</t>
  </si>
  <si>
    <t>10.47.61.15</t>
  </si>
  <si>
    <t>HUE-TTVH-VHAL</t>
  </si>
  <si>
    <t>F8-BC-12-A4-3A-7B</t>
  </si>
  <si>
    <t>BTZ8H32</t>
  </si>
  <si>
    <t>5335</t>
  </si>
  <si>
    <t>KT A Lưới</t>
  </si>
  <si>
    <t>Tân An (TD)</t>
  </si>
  <si>
    <t>10.47.47.143</t>
  </si>
  <si>
    <t>Thôn Tân An</t>
  </si>
  <si>
    <t>Vỹ Dạ</t>
  </si>
  <si>
    <t>47 Hà Huy Giáp</t>
  </si>
  <si>
    <t>Bà Triệu (TD)</t>
  </si>
  <si>
    <t>75 Đường Bà Triệu</t>
  </si>
  <si>
    <t>Chợ Đồn (TD)</t>
  </si>
  <si>
    <t>195 Đường Đào Duy Anh</t>
  </si>
  <si>
    <t>Chợ Mai (TD)</t>
  </si>
  <si>
    <t>Thôn Nam Thượng</t>
  </si>
  <si>
    <t>Phú Thượng (TD)</t>
  </si>
  <si>
    <t>Hương Sơ</t>
  </si>
  <si>
    <t>10.47.47.22</t>
  </si>
  <si>
    <t>Thôn Lệ Khê</t>
  </si>
  <si>
    <t>VP BĐ Thành Phố Huế</t>
  </si>
  <si>
    <t>5309</t>
  </si>
  <si>
    <t>Ban giám đốc</t>
  </si>
  <si>
    <t>10.47.32.137</t>
  </si>
  <si>
    <t>HUE-BGD-THANHTP</t>
  </si>
  <si>
    <t>04:92:26:D7:9D:FE</t>
  </si>
  <si>
    <t>Intel G5400 3.7GHz</t>
  </si>
  <si>
    <t>TRẦN PHÚ THÀNH</t>
  </si>
  <si>
    <t>10.47.32.216</t>
  </si>
  <si>
    <t>HUE-BGD-TRUNGVH</t>
  </si>
  <si>
    <t>74:56:3C:8A:A0:45</t>
  </si>
  <si>
    <t>Intel i3 8100 3.6GHz</t>
  </si>
  <si>
    <t>VÕ HOÀI TRUNG</t>
  </si>
  <si>
    <t>Phòng Tổ chức Hành chính</t>
  </si>
  <si>
    <t>10.47.12.166</t>
  </si>
  <si>
    <t>HUE-TCHC-VANTHU</t>
  </si>
  <si>
    <t>38-D5-47-15-1A-3D</t>
  </si>
  <si>
    <t>Intel G3900 2.8Ghz</t>
  </si>
  <si>
    <t>VĂN THƯ</t>
  </si>
  <si>
    <t>10.47.32.134</t>
  </si>
  <si>
    <t>HUE-TCHC-DUCCD</t>
  </si>
  <si>
    <t>00-09-0F-FE-00-01</t>
  </si>
  <si>
    <t>DƯƠNG VĂN ĐỨC (NĐ)</t>
  </si>
  <si>
    <t>10.47.32.151</t>
  </si>
  <si>
    <t>HUE-TCHC-KYHV</t>
  </si>
  <si>
    <t>04:D9:F5:39:27:B9</t>
  </si>
  <si>
    <t>HỒ VĂN KỲ</t>
  </si>
  <si>
    <t>10.47.32.159</t>
  </si>
  <si>
    <t>HUE-TCHC-HANG</t>
  </si>
  <si>
    <t>38-D5-47-E1-AB-88</t>
  </si>
  <si>
    <t>VÕ THỊ THÚY HẰNG</t>
  </si>
  <si>
    <t>10.47.32.160</t>
  </si>
  <si>
    <t>HUE-TCHC-NGUYET</t>
  </si>
  <si>
    <t>3C-7C-3F-D3-B6-30</t>
  </si>
  <si>
    <t>TRƯƠNG KHẢI NGUYỆT</t>
  </si>
  <si>
    <t>10.47.32.164</t>
  </si>
  <si>
    <t>HUE-TCHC-DUCDV</t>
  </si>
  <si>
    <t>D0-50-99-87-C5-72</t>
  </si>
  <si>
    <t>ASRock H81M-G</t>
  </si>
  <si>
    <t>Intel G3250 3.2GHz</t>
  </si>
  <si>
    <t>DƯƠNG VĂN ĐỨC</t>
  </si>
  <si>
    <t>10.47.32.176</t>
  </si>
  <si>
    <t>HUE-TCHC-KHANHH</t>
  </si>
  <si>
    <t>2C-4D-54-4C-E3-0B</t>
  </si>
  <si>
    <t>HOÀNG VĂN KHÁNH</t>
  </si>
  <si>
    <t>10.47.32.245</t>
  </si>
  <si>
    <t>HUE-TCHC-TRANGN</t>
  </si>
  <si>
    <t>9C-6B-00-38-52-BF</t>
  </si>
  <si>
    <t>Intel G6405 4.1Ghz</t>
  </si>
  <si>
    <t>NGUYỄN HUYỀN TRANG</t>
  </si>
  <si>
    <t>10.47.32.249</t>
  </si>
  <si>
    <t>HUE-TCHC-DUNGNT</t>
  </si>
  <si>
    <t>30-56-0F-12-EA-74</t>
  </si>
  <si>
    <t>Intel i3 14100 3.5Ghz</t>
  </si>
  <si>
    <t>SSD 477GB</t>
  </si>
  <si>
    <t>NGUYỄN THỊ THÙY DUNG</t>
  </si>
  <si>
    <t>Phòng Tài chính Kế hoạch</t>
  </si>
  <si>
    <t>10.47.12.45</t>
  </si>
  <si>
    <t>TTH-HUE-KT</t>
  </si>
  <si>
    <t>D8-5E-D3-95-13-A3</t>
  </si>
  <si>
    <t>THỦ QUỸ BĐTP HUẾ</t>
  </si>
  <si>
    <t>10.47.32.133</t>
  </si>
  <si>
    <t>HUE-TCKT-DIEPHP</t>
  </si>
  <si>
    <t>B0-5C-DA-3D-33-5C</t>
  </si>
  <si>
    <t>HP Pavilion Laptop 15-cs3xxx</t>
  </si>
  <si>
    <t>5CD0208NJ2</t>
  </si>
  <si>
    <t>Intel Core i5-1035G1 1.00-3.60GHz</t>
  </si>
  <si>
    <t>LAPTOP MỘNG ĐIỆP</t>
  </si>
  <si>
    <t>10.47.32.141</t>
  </si>
  <si>
    <t>HUE-TCKT-YTTN</t>
  </si>
  <si>
    <t>A8-A1-59-2D-C2-3D</t>
  </si>
  <si>
    <t>Intel G6400 4.0Ghz</t>
  </si>
  <si>
    <t>TRẦN THỊ NHƯ Ý</t>
  </si>
  <si>
    <t>10.47.32.180</t>
  </si>
  <si>
    <t>HUE-TCKT-DIEPDM</t>
  </si>
  <si>
    <t>18:C0:4D:D4:D5:DA</t>
  </si>
  <si>
    <t>Intel i5 10400 2.9GHz</t>
  </si>
  <si>
    <t>SSD 250GB</t>
  </si>
  <si>
    <t>DƯƠNG MỸ MỘNG ĐIỆP</t>
  </si>
  <si>
    <t>10.47.32.182</t>
  </si>
  <si>
    <t>HUE-TCKT-PHUONG</t>
  </si>
  <si>
    <t>04-D9-F5-39-27-CA</t>
  </si>
  <si>
    <t>HỒ THỊ HUYỀN PHƯƠNG</t>
  </si>
  <si>
    <t>10.47.32.183</t>
  </si>
  <si>
    <t>HUE-TCKT-TRAMDT</t>
  </si>
  <si>
    <t>D8-BB-C1-13-C9-6A</t>
  </si>
  <si>
    <t>MS-7C89</t>
  </si>
  <si>
    <t>Intel G5900 3.4Ghz</t>
  </si>
  <si>
    <t>ĐẶNG THỊ THÙY TRÂM</t>
  </si>
  <si>
    <t>10.47.32.184</t>
  </si>
  <si>
    <t>HUE-TCKT-HOAVTT</t>
  </si>
  <si>
    <t>18-C0-4D-4B-32-9E</t>
  </si>
  <si>
    <t>H410M H</t>
  </si>
  <si>
    <t>VÕ THỊ THUẬN HÒA</t>
  </si>
  <si>
    <t>10.47.32.185</t>
  </si>
  <si>
    <t>HUE-TCKT-PHUNGL</t>
  </si>
  <si>
    <t>04-D9-F5-39-2D-21</t>
  </si>
  <si>
    <t>LÊ ĐÌNH PHỤNG</t>
  </si>
  <si>
    <t>10.47.32.186</t>
  </si>
  <si>
    <t>HUE-TCKT-TCKT01</t>
  </si>
  <si>
    <t>70-4D-7B-67-4F-1C</t>
  </si>
  <si>
    <t>TÀI CHÍNH KẾ HOẠCH</t>
  </si>
  <si>
    <t>10.47.32.188</t>
  </si>
  <si>
    <t>HUE-TCKH-DONGTD</t>
  </si>
  <si>
    <t>18-C0-4D-4B-32-89</t>
  </si>
  <si>
    <t>CV</t>
  </si>
  <si>
    <t>10.47.57.23</t>
  </si>
  <si>
    <t>HUE-PLC-DUNGNT</t>
  </si>
  <si>
    <t>00-E0-27-6D-23-44</t>
  </si>
  <si>
    <t>Winnfox</t>
  </si>
  <si>
    <t>H81</t>
  </si>
  <si>
    <t>NGUYỄN THỊ DUNG</t>
  </si>
  <si>
    <t>10.47.59.36</t>
  </si>
  <si>
    <t>HUE-PVG-DIEPTT</t>
  </si>
  <si>
    <t>A0-36-BC-D0-7E-25</t>
  </si>
  <si>
    <t>SSD 224GB + HDD 233GB</t>
  </si>
  <si>
    <t>TRẦN THỊ DIỆP</t>
  </si>
  <si>
    <t>10.47.59.53</t>
  </si>
  <si>
    <t>HUE-HTY-PHUONGD</t>
  </si>
  <si>
    <t>00-D8-61-10-1C-DA</t>
  </si>
  <si>
    <t>Intel Core i3 7100</t>
  </si>
  <si>
    <t>NGUYỄN THỊ PHƯƠNG</t>
  </si>
  <si>
    <t>10.47.62.111</t>
  </si>
  <si>
    <t>HUE-HTA-THUQUY</t>
  </si>
  <si>
    <t>60-CF-84-9F-EC-DA</t>
  </si>
  <si>
    <t>SSD 238GB + SSD 224GB</t>
  </si>
  <si>
    <t>10.47.62.61</t>
  </si>
  <si>
    <t>HUE-HTA-HANHLTD</t>
  </si>
  <si>
    <t>00-E0-27-18-11-CE</t>
  </si>
  <si>
    <t>H110</t>
  </si>
  <si>
    <t>SSD 238GB + HDD 932GB</t>
  </si>
  <si>
    <t>LÊ THỊ DIỆU HẠNH</t>
  </si>
  <si>
    <t>10.47.62.79</t>
  </si>
  <si>
    <t>HUE-HTA-NGOCLTN</t>
  </si>
  <si>
    <t>74-56-3C-8B-3F-A6</t>
  </si>
  <si>
    <t>H510M H V2</t>
  </si>
  <si>
    <t>LÊ THỊ NHƯ NGỌC</t>
  </si>
  <si>
    <t>VP Trung tâm Kinh doanh</t>
  </si>
  <si>
    <t>10.47.32.149</t>
  </si>
  <si>
    <t>HUE-TTKD-DIEMDT</t>
  </si>
  <si>
    <t>9C-6B-00-38-52-AC</t>
  </si>
  <si>
    <t>TRUNG TÂM KINH DOANH</t>
  </si>
  <si>
    <t>10.47.32.179</t>
  </si>
  <si>
    <t>2C-FD-A1-59-07-27</t>
  </si>
  <si>
    <t>10.47.32.187</t>
  </si>
  <si>
    <t>HUE-KHKD-HANT</t>
  </si>
  <si>
    <t>E8-9C-25-3E-1F-DF</t>
  </si>
  <si>
    <t>Intel G3460 3.5Ghz</t>
  </si>
  <si>
    <t>NGUYỄN THANH HÀ</t>
  </si>
  <si>
    <t>10.47.32.201</t>
  </si>
  <si>
    <t>HUE-KHKD-DUNGHD</t>
  </si>
  <si>
    <t>74:D4:35:6D:C6:4E</t>
  </si>
  <si>
    <t>Intel G3260 3.1Ghz</t>
  </si>
  <si>
    <t>HOÀNG ĐỨC DŨNG</t>
  </si>
  <si>
    <t>10.47.32.205</t>
  </si>
  <si>
    <t>HUE-TTKD-HUONGV</t>
  </si>
  <si>
    <t>D0-50-99-AD-B3-B6</t>
  </si>
  <si>
    <t>SSD 238GB + UNKNOWN 466GB</t>
  </si>
  <si>
    <t>VŨ THIÊN HƯƠNG</t>
  </si>
  <si>
    <t>10.47.32.213</t>
  </si>
  <si>
    <t>HUE-KHKD-CHUNGV</t>
  </si>
  <si>
    <t>74-D4-35-03-75-FB</t>
  </si>
  <si>
    <t>Intel G2020 2.9GHz</t>
  </si>
  <si>
    <t>VÕ THANH CHUNG</t>
  </si>
  <si>
    <t>10.47.32.214</t>
  </si>
  <si>
    <t>HUE-KHKD-THYTM</t>
  </si>
  <si>
    <t>40-B0-76-5E-84-1D</t>
  </si>
  <si>
    <t>TRẦN MINH THY</t>
  </si>
  <si>
    <t>10.47.32.222</t>
  </si>
  <si>
    <t>HUE-TTKD-01</t>
  </si>
  <si>
    <t>B8-AE-ED-B4-08-0F</t>
  </si>
  <si>
    <t>Intel G1840 2.8GHz</t>
  </si>
  <si>
    <t>10.47.32.240</t>
  </si>
  <si>
    <t>HUE-KHKD-KHKD01</t>
  </si>
  <si>
    <t>70-4D-7B-66-C9-5E</t>
  </si>
  <si>
    <t>10.47.32.253</t>
  </si>
  <si>
    <t>HUE-TTKD-CHUNGV</t>
  </si>
  <si>
    <t>9C-6B-00-38-52-CA</t>
  </si>
  <si>
    <t>VP Trung tâm Vận hành</t>
  </si>
  <si>
    <t>10.47.33.10</t>
  </si>
  <si>
    <t>DESKTOP-7QA1KPN</t>
  </si>
  <si>
    <t>10-FF-E0-77-0E-96</t>
  </si>
  <si>
    <t>LÊ THANH BÌNH</t>
  </si>
  <si>
    <t>10.47.33.12</t>
  </si>
  <si>
    <t>HUE-TTVH-XUANLT</t>
  </si>
  <si>
    <t>34-64-A9-0A-77-88</t>
  </si>
  <si>
    <t>HP ProDesk 400 G2 MT</t>
  </si>
  <si>
    <t>SGH443PF3B</t>
  </si>
  <si>
    <t>10GB</t>
  </si>
  <si>
    <t>LÂM THỊ HỒNG XUÂN</t>
  </si>
  <si>
    <t>10.47.33.13</t>
  </si>
  <si>
    <t>HUE-KTNV-NHUNG</t>
  </si>
  <si>
    <t>3C-7C-3F-2F-95-98</t>
  </si>
  <si>
    <t>LÊ THỊ HỒNG NHUNG</t>
  </si>
  <si>
    <t>10.47.33.17</t>
  </si>
  <si>
    <t>HUE-TTVH-BAOTQ</t>
  </si>
  <si>
    <t>74-D4-35-03-7C-C6</t>
  </si>
  <si>
    <t>Intel Core i3-8100</t>
  </si>
  <si>
    <t>TRƯƠNG QUỐC BẢO</t>
  </si>
  <si>
    <t>10.47.33.18</t>
  </si>
  <si>
    <t>HUE-TTVH-MINH</t>
  </si>
  <si>
    <t>F4-4D-30-4A-C3-2C</t>
  </si>
  <si>
    <t>NGUYỄN TÂM QUANG</t>
  </si>
  <si>
    <t>10.47.33.20</t>
  </si>
  <si>
    <t>HUE-TTTVH-BAO</t>
  </si>
  <si>
    <t>E0-D5-5E-06-9C-2E</t>
  </si>
  <si>
    <t>10.47.33.23</t>
  </si>
  <si>
    <t>HUE-KTNV-HUONG</t>
  </si>
  <si>
    <t>A8-A1-59-2D-C0-CE</t>
  </si>
  <si>
    <t>LÊ THỊ HOÀI HƯƠNG</t>
  </si>
  <si>
    <t>10.47.33.24</t>
  </si>
  <si>
    <t>HUE-TTVH-TANTN1</t>
  </si>
  <si>
    <t>9C-6B-00-38-52-C3</t>
  </si>
  <si>
    <t>24GB</t>
  </si>
  <si>
    <t>TRẦN NHẬT TÂN</t>
  </si>
  <si>
    <t>10.47.33.33</t>
  </si>
  <si>
    <t>HUE-IT-TUAN</t>
  </si>
  <si>
    <t>30-56-0F-53-82-11</t>
  </si>
  <si>
    <t>SSD 238GB + HDD 466GB + HDD 466GB</t>
  </si>
  <si>
    <t>ÂU THÁI TUẤN</t>
  </si>
  <si>
    <t>VP TTKT-VC</t>
  </si>
  <si>
    <t>10.47.47.223</t>
  </si>
  <si>
    <t>Bưu điện Tỉnh Thừa Thiên Huế</t>
  </si>
  <si>
    <t>10.47.47.224</t>
  </si>
  <si>
    <t>10.47.47.47</t>
  </si>
  <si>
    <t>10.47.47.227</t>
  </si>
  <si>
    <t>10.47.47.235</t>
  </si>
  <si>
    <t>10.47.47.236</t>
  </si>
  <si>
    <t>10.47.47.237</t>
  </si>
  <si>
    <t>10.47.47.238</t>
  </si>
  <si>
    <t>10.47.47.239</t>
  </si>
  <si>
    <t>10.47.47.241</t>
  </si>
  <si>
    <t>10.47.47.244</t>
  </si>
  <si>
    <t>10.47.47.253</t>
  </si>
  <si>
    <t>10.47.47.254</t>
  </si>
  <si>
    <t>KHL- Hành chính công (TD)</t>
  </si>
  <si>
    <t>Văn phòng BĐT Thừa Thiên Huế</t>
  </si>
  <si>
    <t>KTC1 Huế 1</t>
  </si>
  <si>
    <t>1 Khu CN Phú Bài</t>
  </si>
  <si>
    <t>Hệ 1 Thừa Thiên Huế</t>
  </si>
  <si>
    <t>Thủy Thanh</t>
  </si>
  <si>
    <t>10.47.47.115</t>
  </si>
  <si>
    <t>Không có máy tính</t>
  </si>
  <si>
    <t>Thôn Thanh Thủy Chánh</t>
  </si>
  <si>
    <t>Thủy Châu</t>
  </si>
  <si>
    <t>10.47.47.110</t>
  </si>
  <si>
    <t>78-24-AF-3C-96-E0</t>
  </si>
  <si>
    <t>Tổ 11, Xóm Phù Nam I</t>
  </si>
  <si>
    <t>Thủy Lương</t>
  </si>
  <si>
    <t>10.47.47.111</t>
  </si>
  <si>
    <t>Tổ 6, Khu Lương Đông</t>
  </si>
  <si>
    <t>Dương Hòa</t>
  </si>
  <si>
    <t>10.47.47.107</t>
  </si>
  <si>
    <t>Thôn 5 Lương Miêu</t>
  </si>
  <si>
    <t>Phú Sơn</t>
  </si>
  <si>
    <t>10.47.47.108</t>
  </si>
  <si>
    <t>Sân bay Phú Bài (TD)</t>
  </si>
  <si>
    <t>Đường Nguyễn Tất Thành</t>
  </si>
  <si>
    <t>Phong Thu</t>
  </si>
  <si>
    <t>10.47.47.77</t>
  </si>
  <si>
    <t>Thôn Trạch Hữu</t>
  </si>
  <si>
    <t>VP BĐH Phong Điền</t>
  </si>
  <si>
    <t>BCP Phong Điền (TD)</t>
  </si>
  <si>
    <t>Điền Hải (TD)</t>
  </si>
  <si>
    <t>Phong Hải</t>
  </si>
  <si>
    <t>10.47.47.72</t>
  </si>
  <si>
    <t>HUE-PQG-PHI</t>
  </si>
  <si>
    <t>Thôn B1</t>
  </si>
  <si>
    <t>Quảng Lợi</t>
  </si>
  <si>
    <t>10.47.47.89</t>
  </si>
  <si>
    <t>Thôn Mỹ Thạnh</t>
  </si>
  <si>
    <t>Quảng Thái</t>
  </si>
  <si>
    <t>10.47.47.93</t>
  </si>
  <si>
    <t>Thôn Đông Hồ</t>
  </si>
  <si>
    <t>Quảng Phước</t>
  </si>
  <si>
    <t>10.47.47.92</t>
  </si>
  <si>
    <t>Thôn Khuôn Phò Đông</t>
  </si>
  <si>
    <t>VP BĐH Quảng Điền</t>
  </si>
  <si>
    <t>Đường Nguyễn Kim Thành</t>
  </si>
  <si>
    <t>BCP Quảng Điền (TD)</t>
  </si>
  <si>
    <t>Phú Diên</t>
  </si>
  <si>
    <t>10.47.47.127</t>
  </si>
  <si>
    <t>Thôn Thanh Dương</t>
  </si>
  <si>
    <t>Vinh An</t>
  </si>
  <si>
    <t>10.47.47.130</t>
  </si>
  <si>
    <t>Thôn An Mỹ</t>
  </si>
  <si>
    <t>Lộc Sơn (TD)</t>
  </si>
  <si>
    <t>Thôn Lộc Sơn</t>
  </si>
  <si>
    <t>Vinh Hải</t>
  </si>
  <si>
    <t>10.47.47.175</t>
  </si>
  <si>
    <t>Thôn Đơn Chế</t>
  </si>
  <si>
    <t>Lộc Bổn</t>
  </si>
  <si>
    <t>10.47.47.169</t>
  </si>
  <si>
    <t>Thôn Hòa Mỹ</t>
  </si>
  <si>
    <t>Xuân Lộc</t>
  </si>
  <si>
    <t>10.47.47.178</t>
  </si>
  <si>
    <t>Lộc Điền</t>
  </si>
  <si>
    <t>10.47.47.170</t>
  </si>
  <si>
    <t>Thôn Sư Lỗ</t>
  </si>
  <si>
    <t>Lộc Hòa</t>
  </si>
  <si>
    <t>10.47.47.171</t>
  </si>
  <si>
    <t>Lộc Trì</t>
  </si>
  <si>
    <t>10.47.47.174</t>
  </si>
  <si>
    <t>Thôn Cao Đôi Xã</t>
  </si>
  <si>
    <t>BCP Nam Đông (TD)</t>
  </si>
  <si>
    <t>Vinh Giang (TD)</t>
  </si>
  <si>
    <t>Thôn Nghi Giang</t>
  </si>
  <si>
    <t>Lộc Thủy</t>
  </si>
  <si>
    <t>10.47.47.173</t>
  </si>
  <si>
    <t>Thôn Phú Cường</t>
  </si>
  <si>
    <t>Thượng Quảng</t>
  </si>
  <si>
    <t>10.47.47.195</t>
  </si>
  <si>
    <t>Thượng Lộ</t>
  </si>
  <si>
    <t>10.47.47.192</t>
  </si>
  <si>
    <t>Thôn La Hố</t>
  </si>
  <si>
    <t>Hồng Kim</t>
  </si>
  <si>
    <t>10.47.47.209</t>
  </si>
  <si>
    <t>Microsoft Windows 10</t>
  </si>
  <si>
    <t>Hồng Thủy</t>
  </si>
  <si>
    <t>10.47.47.213</t>
  </si>
  <si>
    <t>Hồng Vân</t>
  </si>
  <si>
    <t>10.47.47.215</t>
  </si>
  <si>
    <t>Thôn A Năm</t>
  </si>
  <si>
    <t>A Ngo</t>
  </si>
  <si>
    <t>10.47.47.203</t>
  </si>
  <si>
    <t>Thôn Quảng Mai</t>
  </si>
  <si>
    <t>Hồng Bắc</t>
  </si>
  <si>
    <t>10.47.47.207</t>
  </si>
  <si>
    <t>Thôn A Ninh</t>
  </si>
  <si>
    <t>Nhâm</t>
  </si>
  <si>
    <t>10.47.47.219</t>
  </si>
  <si>
    <t>Bốt Đỏ</t>
  </si>
  <si>
    <t>10.47.47.201</t>
  </si>
  <si>
    <t>Thôn Quảng Hợp</t>
  </si>
  <si>
    <t>Hồng Thượng</t>
  </si>
  <si>
    <t>10.47.47.212</t>
  </si>
  <si>
    <t>Thôn Hợp Thượng</t>
  </si>
  <si>
    <t>Phú Vinh</t>
  </si>
  <si>
    <t>10.47.47.220</t>
  </si>
  <si>
    <t>Lắp ráp ĐNA</t>
  </si>
  <si>
    <t>Thôn Phú Thuận</t>
  </si>
  <si>
    <t>Hương Lâm</t>
  </si>
  <si>
    <t>10.47.47.216</t>
  </si>
  <si>
    <t>Thôn A Đớt</t>
  </si>
  <si>
    <t>10.47.47.218</t>
  </si>
  <si>
    <t>Thôn Hương Phú</t>
  </si>
  <si>
    <t>Phú Thanh</t>
  </si>
  <si>
    <t>10.47.47.139</t>
  </si>
  <si>
    <t>Thôn Quy Lai</t>
  </si>
  <si>
    <t>Hương Văn</t>
  </si>
  <si>
    <t>10.47.47.54</t>
  </si>
  <si>
    <t>Đội 8 - Văn xá Tây</t>
  </si>
  <si>
    <t>Hương Chữ (TD)</t>
  </si>
  <si>
    <t>10.47.47.231</t>
  </si>
  <si>
    <t>Thôn Quế Chữ</t>
  </si>
  <si>
    <t>Bắc Sơn (TD)</t>
  </si>
  <si>
    <t>Hồng Quảng (TD)</t>
  </si>
  <si>
    <t>A Đớt (TD)</t>
  </si>
  <si>
    <t>Thôn Chi Lanh</t>
  </si>
  <si>
    <t>Lý Thường Kiệt (TD)</t>
  </si>
  <si>
    <t>14B Đường Lý Thường Kiệt</t>
  </si>
  <si>
    <t>Trần Phú (TD)</t>
  </si>
  <si>
    <t>151 Đường Trần Phú</t>
  </si>
  <si>
    <t>Chuyển tiền (TD)</t>
  </si>
  <si>
    <t>Huế Ga (TD)</t>
  </si>
  <si>
    <t>2 Đường Bùi Thị Xuân</t>
  </si>
  <si>
    <t>Lê Lợi (TD)</t>
  </si>
  <si>
    <t>49 Đường Lê Lợi</t>
  </si>
  <si>
    <t>Thủy Châu (TD)</t>
  </si>
  <si>
    <t>Tổ 8, Khu Châu Sơn</t>
  </si>
  <si>
    <t>KCN Phú Bài (TD)</t>
  </si>
  <si>
    <t>Tổ 16, Khu VIII</t>
  </si>
  <si>
    <t>Hồng Tiến (TD)</t>
  </si>
  <si>
    <t>Thôn Đông Hòa</t>
  </si>
  <si>
    <t>Hương Hòa (TD)</t>
  </si>
  <si>
    <t>Thôn Tây Linh</t>
  </si>
  <si>
    <t>Cầu Hai (TD)</t>
  </si>
  <si>
    <t>Khu Vực IV</t>
  </si>
  <si>
    <t>Truồi (TD)</t>
  </si>
  <si>
    <t>Thôn Xuân Lai</t>
  </si>
  <si>
    <t>Phú Tân (TD)</t>
  </si>
  <si>
    <t>Thôn Tân Cảng</t>
  </si>
  <si>
    <t>Viễn Trình (TD)</t>
  </si>
  <si>
    <t>Thôn Viễn Trình</t>
  </si>
  <si>
    <t>Vinh Phú (TD)</t>
  </si>
  <si>
    <t>10.47.47.146</t>
  </si>
  <si>
    <t>Thôn Trường Hà</t>
  </si>
  <si>
    <t>Vinh An (TD)</t>
  </si>
  <si>
    <t>Thôn Trung Hải</t>
  </si>
  <si>
    <t>Quảng Thành (TD)</t>
  </si>
  <si>
    <t>Thôn Thanh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</si>
</sst>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Book1.xlsx" TargetMode="External"/><Relationship Id="rId2" Type="http://schemas.openxmlformats.org/officeDocument/2006/relationships/externalLinkPath" Target="https://d.docs.live.net/e69d5f0136af779a/Documents/Book1.xlsx" TargetMode="External"/><Relationship Id="rId1" Type="http://schemas.openxmlformats.org/officeDocument/2006/relationships/externalLinkPath" Target="/e69d5f0136af779a/Documents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KTNV/Vi&#7877;n%20th&#244;ng-CNTT-KTCN/2025-Danh%20s&#225;ch%20c&#225;c%20&#273;i&#7875;m%20v&#7909;_CNTT.xlsx" TargetMode="External"/><Relationship Id="rId2" Type="http://schemas.openxmlformats.org/officeDocument/2006/relationships/externalLinkPath" Target="https://d.docs.live.net/e69d5f0136af779a/KTNV/Vi&#7877;n%20th&#244;ng-CNTT-KTCN/2025-Danh%20s&#225;ch%20c&#225;c%20&#273;i&#7875;m%20v&#7909;_CNTT.xlsx" TargetMode="External"/><Relationship Id="rId1" Type="http://schemas.openxmlformats.org/officeDocument/2006/relationships/externalLinkPath" Target="/e69d5f0136af779a/KTNV/Vi&#7877;n%20th&#244;ng-CNTT-KTCN/2025-Danh%20s&#225;ch%20c&#225;c%20&#273;i&#7875;m%20v&#7909;_CN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rge1"/>
      <sheetName val="QUAN_LY_IP"/>
      <sheetName val="Danh muc DPV để map DL"/>
    </sheetNames>
    <sheetDataSet>
      <sheetData sheetId="0"/>
      <sheetData sheetId="1"/>
      <sheetData sheetId="2">
        <row r="3">
          <cell r="B3">
            <v>53</v>
          </cell>
          <cell r="G3">
            <v>53</v>
          </cell>
          <cell r="H3" t="str">
            <v>BĐTP Huế</v>
          </cell>
          <cell r="J3">
            <v>53</v>
          </cell>
          <cell r="K3" t="str">
            <v>BĐTP Huế</v>
          </cell>
        </row>
        <row r="4">
          <cell r="B4">
            <v>535470</v>
          </cell>
          <cell r="C4" t="str">
            <v>53</v>
          </cell>
          <cell r="D4" t="str">
            <v>BĐTP Huế</v>
          </cell>
          <cell r="E4" t="str">
            <v>5353</v>
          </cell>
          <cell r="F4" t="str">
            <v>BĐKV Hương Trà - Quảng Điền</v>
          </cell>
          <cell r="G4">
            <v>5372</v>
          </cell>
          <cell r="H4" t="str">
            <v>BCVH Hương Trà</v>
          </cell>
          <cell r="I4" t="str">
            <v>5341</v>
          </cell>
          <cell r="J4">
            <v>535470</v>
          </cell>
          <cell r="K4" t="str">
            <v>BCVH Hương Trà</v>
          </cell>
          <cell r="L4" t="str">
            <v>PH2</v>
          </cell>
          <cell r="M4" t="str">
            <v>105 Đường Cách Mạng Tháng Tám</v>
          </cell>
        </row>
        <row r="5">
          <cell r="B5">
            <v>535360</v>
          </cell>
          <cell r="C5" t="str">
            <v>53</v>
          </cell>
          <cell r="D5" t="str">
            <v>BĐTP Huế</v>
          </cell>
          <cell r="E5" t="str">
            <v>5353</v>
          </cell>
          <cell r="F5" t="str">
            <v>BĐKV Hương Trà - Quảng Điền</v>
          </cell>
          <cell r="G5">
            <v>5372</v>
          </cell>
          <cell r="H5" t="str">
            <v>BCVH Hương Trà</v>
          </cell>
          <cell r="I5" t="str">
            <v>5341</v>
          </cell>
          <cell r="J5">
            <v>535360</v>
          </cell>
          <cell r="K5" t="str">
            <v>KT Hương Trà</v>
          </cell>
          <cell r="L5" t="str">
            <v>KT2</v>
          </cell>
          <cell r="M5" t="str">
            <v>105 Đường Cách Mạng Tháng Tám</v>
          </cell>
        </row>
        <row r="6">
          <cell r="B6">
            <v>534940</v>
          </cell>
          <cell r="C6" t="str">
            <v>53</v>
          </cell>
          <cell r="D6" t="str">
            <v>BĐTP Huế</v>
          </cell>
          <cell r="E6" t="str">
            <v>5349</v>
          </cell>
          <cell r="F6" t="str">
            <v>Bưu điện Phong Điền</v>
          </cell>
          <cell r="G6">
            <v>5372</v>
          </cell>
          <cell r="H6" t="str">
            <v>BCVH Hương Trà</v>
          </cell>
          <cell r="I6" t="str">
            <v>5341</v>
          </cell>
          <cell r="J6">
            <v>534940</v>
          </cell>
          <cell r="K6" t="str">
            <v>KT Phong Điền</v>
          </cell>
          <cell r="L6" t="str">
            <v>KT2</v>
          </cell>
          <cell r="M6" t="str">
            <v>Thôn Trạch Thượng 1</v>
          </cell>
        </row>
        <row r="7">
          <cell r="B7">
            <v>534630</v>
          </cell>
          <cell r="C7" t="str">
            <v>53</v>
          </cell>
          <cell r="D7" t="str">
            <v>BĐTP Huế</v>
          </cell>
          <cell r="E7" t="str">
            <v>5346</v>
          </cell>
          <cell r="F7" t="str">
            <v>BĐKV Hương Trà - Quảng Điền</v>
          </cell>
          <cell r="G7">
            <v>5372</v>
          </cell>
          <cell r="H7" t="str">
            <v>BCVH Hương Trà</v>
          </cell>
          <cell r="I7" t="str">
            <v>5341</v>
          </cell>
          <cell r="J7">
            <v>534630</v>
          </cell>
          <cell r="K7" t="str">
            <v xml:space="preserve">KT Quảng Điền </v>
          </cell>
          <cell r="L7" t="str">
            <v>KT2</v>
          </cell>
          <cell r="M7" t="str">
            <v>Thôn Khuôn Phò Nam</v>
          </cell>
        </row>
        <row r="8">
          <cell r="B8">
            <v>534908</v>
          </cell>
          <cell r="C8" t="str">
            <v>53</v>
          </cell>
          <cell r="D8" t="str">
            <v>BĐTP Huế</v>
          </cell>
          <cell r="E8" t="str">
            <v>5349</v>
          </cell>
          <cell r="F8" t="str">
            <v>Bưu điện Phong Điền</v>
          </cell>
          <cell r="G8">
            <v>5372</v>
          </cell>
          <cell r="H8" t="str">
            <v>BCVH Hương Trà</v>
          </cell>
          <cell r="I8">
            <v>5341</v>
          </cell>
          <cell r="J8">
            <v>534908</v>
          </cell>
          <cell r="K8" t="str">
            <v>KHL Phong Điền</v>
          </cell>
          <cell r="L8" t="str">
            <v>GD3</v>
          </cell>
          <cell r="M8" t="str">
            <v>128 Đường Phò Trạch</v>
          </cell>
        </row>
        <row r="9">
          <cell r="B9">
            <v>536250</v>
          </cell>
          <cell r="C9" t="str">
            <v>53</v>
          </cell>
          <cell r="D9" t="str">
            <v>BĐTP Huế</v>
          </cell>
          <cell r="E9" t="str">
            <v>5361</v>
          </cell>
          <cell r="F9" t="str">
            <v>Bưu điện Hương Thuỷ</v>
          </cell>
          <cell r="G9">
            <v>5373</v>
          </cell>
          <cell r="H9" t="str">
            <v>BCVH Hương Thủy</v>
          </cell>
          <cell r="I9" t="str">
            <v>5314</v>
          </cell>
          <cell r="J9">
            <v>536250</v>
          </cell>
          <cell r="K9" t="str">
            <v>BCVH Hương Thủy</v>
          </cell>
          <cell r="L9" t="str">
            <v>PH2</v>
          </cell>
          <cell r="M9" t="str">
            <v>1028 Đường Nguyễn Tất Thành</v>
          </cell>
        </row>
        <row r="10">
          <cell r="B10">
            <v>536130</v>
          </cell>
          <cell r="C10" t="str">
            <v>53</v>
          </cell>
          <cell r="D10" t="str">
            <v>BĐTP Huế</v>
          </cell>
          <cell r="E10" t="str">
            <v>5361</v>
          </cell>
          <cell r="F10" t="str">
            <v>Bưu điện Hương Thuỷ</v>
          </cell>
          <cell r="G10">
            <v>5373</v>
          </cell>
          <cell r="H10" t="str">
            <v>BCVH Hương Thủy</v>
          </cell>
          <cell r="I10" t="str">
            <v>5314</v>
          </cell>
          <cell r="J10">
            <v>536130</v>
          </cell>
          <cell r="K10" t="str">
            <v>KT Hương Thủy</v>
          </cell>
          <cell r="L10" t="str">
            <v>KT2</v>
          </cell>
          <cell r="M10" t="str">
            <v>272 Đường Nguyễn Tất Thành</v>
          </cell>
        </row>
        <row r="11">
          <cell r="B11">
            <v>536770</v>
          </cell>
          <cell r="C11" t="str">
            <v>53</v>
          </cell>
          <cell r="D11" t="str">
            <v>BĐTP Huế</v>
          </cell>
          <cell r="E11" t="str">
            <v>5367</v>
          </cell>
          <cell r="F11" t="str">
            <v>Bưu điện Phú Vang</v>
          </cell>
          <cell r="G11">
            <v>5373</v>
          </cell>
          <cell r="H11" t="str">
            <v>BCVH Hương Thủy</v>
          </cell>
          <cell r="I11" t="str">
            <v>5314</v>
          </cell>
          <cell r="J11">
            <v>536770</v>
          </cell>
          <cell r="K11" t="str">
            <v xml:space="preserve">KT Phú Vang </v>
          </cell>
          <cell r="L11" t="str">
            <v>KT2</v>
          </cell>
          <cell r="M11" t="str">
            <v>Thôn Hòa Tây</v>
          </cell>
        </row>
        <row r="12">
          <cell r="B12">
            <v>536840</v>
          </cell>
          <cell r="C12" t="str">
            <v>53</v>
          </cell>
          <cell r="D12" t="str">
            <v>BĐTP Huế</v>
          </cell>
          <cell r="E12" t="str">
            <v>5367</v>
          </cell>
          <cell r="F12" t="str">
            <v>Bưu điện Phú Vang</v>
          </cell>
          <cell r="G12">
            <v>5373</v>
          </cell>
          <cell r="H12" t="str">
            <v>BCVH Hương Thủy</v>
          </cell>
          <cell r="J12">
            <v>536840</v>
          </cell>
          <cell r="K12" t="str">
            <v>BCP Phú Vang (TD)</v>
          </cell>
          <cell r="L12" t="str">
            <v>PH2</v>
          </cell>
          <cell r="M12" t="str">
            <v>Thôn Hòa Tây</v>
          </cell>
          <cell r="N12">
            <v>1</v>
          </cell>
        </row>
        <row r="13">
          <cell r="B13">
            <v>536328</v>
          </cell>
          <cell r="C13" t="str">
            <v>53</v>
          </cell>
          <cell r="D13" t="str">
            <v>BĐTP Huế</v>
          </cell>
          <cell r="E13" t="str">
            <v>5361</v>
          </cell>
          <cell r="F13" t="str">
            <v>Bưu điện Hương Thuỷ</v>
          </cell>
          <cell r="G13">
            <v>5373</v>
          </cell>
          <cell r="H13" t="str">
            <v>BCVH Hương Thủy</v>
          </cell>
          <cell r="J13">
            <v>536328</v>
          </cell>
          <cell r="K13" t="str">
            <v>KHL Hương Thủy</v>
          </cell>
          <cell r="L13" t="str">
            <v>GD3</v>
          </cell>
          <cell r="M13" t="str">
            <v>Khu CN Phú Bài</v>
          </cell>
        </row>
        <row r="14">
          <cell r="B14">
            <v>537015</v>
          </cell>
          <cell r="C14" t="str">
            <v>53</v>
          </cell>
          <cell r="D14" t="str">
            <v>BĐTP Huế</v>
          </cell>
          <cell r="E14" t="str">
            <v>5311</v>
          </cell>
          <cell r="F14" t="str">
            <v>Trung tâm khai thác Huế</v>
          </cell>
          <cell r="G14">
            <v>5374</v>
          </cell>
          <cell r="H14" t="str">
            <v>BCVH Thuận An</v>
          </cell>
          <cell r="I14">
            <v>5304</v>
          </cell>
          <cell r="J14">
            <v>537015</v>
          </cell>
          <cell r="K14" t="str">
            <v>BCVH Thuận An</v>
          </cell>
          <cell r="L14" t="str">
            <v>PH2</v>
          </cell>
          <cell r="M14" t="str">
            <v>Thôn Trung Đông</v>
          </cell>
        </row>
        <row r="15">
          <cell r="B15">
            <v>533800</v>
          </cell>
          <cell r="C15" t="str">
            <v>53</v>
          </cell>
          <cell r="D15" t="str">
            <v>BĐTP Huế</v>
          </cell>
          <cell r="E15" t="str">
            <v>5310</v>
          </cell>
          <cell r="F15" t="str">
            <v>Bưu điện Huế</v>
          </cell>
          <cell r="G15">
            <v>5375</v>
          </cell>
          <cell r="H15" t="str">
            <v>BCVH Thuận Hóa</v>
          </cell>
          <cell r="I15" t="str">
            <v>5304</v>
          </cell>
          <cell r="J15">
            <v>533800</v>
          </cell>
          <cell r="K15" t="str">
            <v>KTC2 TP Huế</v>
          </cell>
          <cell r="L15" t="str">
            <v>KT2</v>
          </cell>
          <cell r="M15" t="str">
            <v>8 Đường Hoàng Hoa Thám</v>
          </cell>
        </row>
        <row r="16">
          <cell r="B16">
            <v>531120</v>
          </cell>
          <cell r="C16" t="str">
            <v>53</v>
          </cell>
          <cell r="D16" t="str">
            <v>BĐTP Huế</v>
          </cell>
          <cell r="E16" t="str">
            <v>5310</v>
          </cell>
          <cell r="F16" t="str">
            <v>Bưu điện Huế</v>
          </cell>
          <cell r="G16">
            <v>5375</v>
          </cell>
          <cell r="H16" t="str">
            <v>BCVH Thuận Hóa</v>
          </cell>
          <cell r="I16" t="str">
            <v>5304</v>
          </cell>
          <cell r="J16">
            <v>531120</v>
          </cell>
          <cell r="K16" t="str">
            <v>Khách hàng lớn</v>
          </cell>
          <cell r="L16" t="str">
            <v>GD3</v>
          </cell>
          <cell r="M16" t="str">
            <v>08 Đường Hoàng Hoa Thám</v>
          </cell>
        </row>
        <row r="17">
          <cell r="B17">
            <v>533140</v>
          </cell>
          <cell r="C17" t="str">
            <v>53</v>
          </cell>
          <cell r="D17" t="str">
            <v>BĐTP Huế</v>
          </cell>
          <cell r="E17" t="str">
            <v>5311</v>
          </cell>
          <cell r="F17" t="str">
            <v>Trung tâm khai thác Huế</v>
          </cell>
          <cell r="G17">
            <v>5375</v>
          </cell>
          <cell r="H17" t="str">
            <v>BCVH Thuận Hóa</v>
          </cell>
          <cell r="I17" t="str">
            <v>5304</v>
          </cell>
          <cell r="J17">
            <v>533140</v>
          </cell>
          <cell r="K17" t="str">
            <v>BCVH Thuận Hóa</v>
          </cell>
          <cell r="L17" t="str">
            <v>PH1</v>
          </cell>
          <cell r="M17" t="str">
            <v>8 Đường Hoàng Hoa Thám</v>
          </cell>
        </row>
        <row r="18">
          <cell r="B18">
            <v>532220</v>
          </cell>
          <cell r="C18" t="str">
            <v>53</v>
          </cell>
          <cell r="D18" t="str">
            <v>BĐTP Huế</v>
          </cell>
          <cell r="E18" t="str">
            <v>5311</v>
          </cell>
          <cell r="F18" t="str">
            <v>Trung tâm khai thác Huế</v>
          </cell>
          <cell r="G18">
            <v>5375</v>
          </cell>
          <cell r="H18" t="str">
            <v>BCVH Thuận Hóa</v>
          </cell>
          <cell r="I18" t="str">
            <v>5304</v>
          </cell>
          <cell r="J18">
            <v>532220</v>
          </cell>
          <cell r="K18" t="str">
            <v xml:space="preserve">BCP Huế Ô Tô </v>
          </cell>
          <cell r="L18" t="str">
            <v>PH2</v>
          </cell>
          <cell r="M18" t="str">
            <v>08 Đường Hoàng Hoa Thám</v>
          </cell>
        </row>
        <row r="19">
          <cell r="B19">
            <v>533130</v>
          </cell>
          <cell r="C19" t="str">
            <v>53</v>
          </cell>
          <cell r="D19" t="str">
            <v>BĐTP Huế</v>
          </cell>
          <cell r="E19" t="str">
            <v>5311</v>
          </cell>
          <cell r="F19" t="str">
            <v>Trung tâm khai thác Huế</v>
          </cell>
          <cell r="G19">
            <v>5375</v>
          </cell>
          <cell r="H19" t="str">
            <v>BCVH Thuận Hóa</v>
          </cell>
          <cell r="J19">
            <v>533130</v>
          </cell>
          <cell r="K19" t="str">
            <v>Huế Bắc (TD)</v>
          </cell>
          <cell r="L19" t="str">
            <v>PH2</v>
          </cell>
          <cell r="M19" t="str">
            <v>02 Đường Nguyễn Văn Linh</v>
          </cell>
          <cell r="N19">
            <v>1</v>
          </cell>
        </row>
        <row r="20">
          <cell r="B20">
            <v>531420</v>
          </cell>
          <cell r="C20" t="str">
            <v>53</v>
          </cell>
          <cell r="D20" t="str">
            <v>BĐTP Huế</v>
          </cell>
          <cell r="E20" t="str">
            <v>5311</v>
          </cell>
          <cell r="F20" t="str">
            <v>Trung tâm khai thác Huế</v>
          </cell>
          <cell r="G20">
            <v>5375</v>
          </cell>
          <cell r="H20" t="str">
            <v>BCVH Thuận Hóa</v>
          </cell>
          <cell r="J20">
            <v>531420</v>
          </cell>
          <cell r="K20" t="str">
            <v>BCP Huế 3 (TD)</v>
          </cell>
          <cell r="L20" t="str">
            <v>PH1</v>
          </cell>
          <cell r="M20" t="str">
            <v>8 Đường Hoàng Hoa Thám</v>
          </cell>
          <cell r="N20">
            <v>1</v>
          </cell>
        </row>
        <row r="21">
          <cell r="B21">
            <v>537220</v>
          </cell>
          <cell r="C21" t="str">
            <v>53</v>
          </cell>
          <cell r="D21" t="str">
            <v>BĐTP Huế</v>
          </cell>
          <cell r="E21" t="str">
            <v>5371</v>
          </cell>
          <cell r="F21" t="str">
            <v>Bưu điện Phú Lộc</v>
          </cell>
          <cell r="G21">
            <v>5376</v>
          </cell>
          <cell r="H21" t="str">
            <v>BCVH Phú Lộc</v>
          </cell>
          <cell r="I21" t="str">
            <v>5328</v>
          </cell>
          <cell r="J21">
            <v>537220</v>
          </cell>
          <cell r="K21" t="str">
            <v>BCVH Phú Lộc</v>
          </cell>
          <cell r="L21" t="str">
            <v>PH2</v>
          </cell>
          <cell r="M21" t="str">
            <v>118 Đường Lý Thánh Tông</v>
          </cell>
        </row>
        <row r="22">
          <cell r="B22">
            <v>536410</v>
          </cell>
          <cell r="C22" t="str">
            <v>53</v>
          </cell>
          <cell r="D22" t="str">
            <v>BĐTP Huế</v>
          </cell>
          <cell r="E22" t="str">
            <v>5364</v>
          </cell>
          <cell r="F22" t="str">
            <v>Bưu điện Phú Lộc</v>
          </cell>
          <cell r="G22">
            <v>5376</v>
          </cell>
          <cell r="H22" t="str">
            <v>BCVH Phú Lộc</v>
          </cell>
          <cell r="I22" t="str">
            <v>5328</v>
          </cell>
          <cell r="J22">
            <v>536410</v>
          </cell>
          <cell r="K22" t="str">
            <v>KT Nam Đông</v>
          </cell>
          <cell r="L22" t="str">
            <v>KT2</v>
          </cell>
          <cell r="M22" t="str">
            <v>Khu Vực Ii</v>
          </cell>
        </row>
        <row r="23">
          <cell r="B23">
            <v>537140</v>
          </cell>
          <cell r="C23" t="str">
            <v>53</v>
          </cell>
          <cell r="D23" t="str">
            <v>BĐTP Huế</v>
          </cell>
          <cell r="E23" t="str">
            <v>5371</v>
          </cell>
          <cell r="F23" t="str">
            <v>Bưu điện Phú Lộc</v>
          </cell>
          <cell r="G23">
            <v>5376</v>
          </cell>
          <cell r="H23" t="str">
            <v>BCVH Phú Lộc</v>
          </cell>
          <cell r="I23" t="str">
            <v>5328</v>
          </cell>
          <cell r="J23">
            <v>537140</v>
          </cell>
          <cell r="K23" t="str">
            <v xml:space="preserve">KT Phú Lộc </v>
          </cell>
          <cell r="L23" t="str">
            <v>KT2</v>
          </cell>
          <cell r="M23" t="str">
            <v>118 Đường Lý Thánh Tông</v>
          </cell>
        </row>
        <row r="24">
          <cell r="B24">
            <v>535790</v>
          </cell>
          <cell r="C24" t="str">
            <v>53</v>
          </cell>
          <cell r="D24" t="str">
            <v>BĐTP Huế</v>
          </cell>
          <cell r="E24" t="str">
            <v>5357</v>
          </cell>
          <cell r="F24" t="str">
            <v>Bưu điện A Lưới</v>
          </cell>
          <cell r="G24">
            <v>5377</v>
          </cell>
          <cell r="H24" t="str">
            <v>BCVH A Lưới</v>
          </cell>
          <cell r="I24" t="str">
            <v>5335</v>
          </cell>
          <cell r="J24">
            <v>535790</v>
          </cell>
          <cell r="K24" t="str">
            <v>BCVH A Lưới</v>
          </cell>
          <cell r="L24" t="str">
            <v>PH2</v>
          </cell>
          <cell r="M24" t="str">
            <v>184 Đường Hồ Chí Minh</v>
          </cell>
        </row>
        <row r="25">
          <cell r="B25">
            <v>535710</v>
          </cell>
          <cell r="C25" t="str">
            <v>53</v>
          </cell>
          <cell r="D25" t="str">
            <v>BĐTP Huế</v>
          </cell>
          <cell r="E25" t="str">
            <v>5357</v>
          </cell>
          <cell r="F25" t="str">
            <v>Bưu điện A Lưới</v>
          </cell>
          <cell r="G25">
            <v>5377</v>
          </cell>
          <cell r="H25" t="str">
            <v>BCVH A Lưới</v>
          </cell>
          <cell r="I25" t="str">
            <v>5335</v>
          </cell>
          <cell r="J25">
            <v>535710</v>
          </cell>
          <cell r="K25" t="str">
            <v>KT A Lưới</v>
          </cell>
          <cell r="L25" t="str">
            <v>KT2</v>
          </cell>
          <cell r="M25" t="str">
            <v>184 Đường Hồ Chí Minh</v>
          </cell>
        </row>
        <row r="26">
          <cell r="B26">
            <v>536750</v>
          </cell>
          <cell r="C26" t="str">
            <v>53</v>
          </cell>
          <cell r="D26" t="str">
            <v>BĐTP Huế</v>
          </cell>
          <cell r="E26" t="str">
            <v>5310</v>
          </cell>
          <cell r="F26" t="str">
            <v>Bưu điện Huế</v>
          </cell>
          <cell r="G26" t="str">
            <v>5300</v>
          </cell>
          <cell r="H26" t="str">
            <v>Bưu điện phường Thuận An</v>
          </cell>
          <cell r="I26" t="str">
            <v>5304</v>
          </cell>
          <cell r="J26">
            <v>536750</v>
          </cell>
          <cell r="K26" t="str">
            <v>Cửa Thuận</v>
          </cell>
          <cell r="L26" t="str">
            <v>GD3</v>
          </cell>
          <cell r="M26" t="str">
            <v>57 Đường Kinh Dương Vương</v>
          </cell>
        </row>
        <row r="27">
          <cell r="B27">
            <v>535370</v>
          </cell>
          <cell r="C27" t="str">
            <v>53</v>
          </cell>
          <cell r="D27" t="str">
            <v>BĐTP Huế</v>
          </cell>
          <cell r="E27" t="str">
            <v>5310</v>
          </cell>
          <cell r="F27" t="str">
            <v>Bưu điện Huế</v>
          </cell>
          <cell r="G27" t="str">
            <v>5300</v>
          </cell>
          <cell r="H27" t="str">
            <v>Bưu điện phường Thuận An</v>
          </cell>
          <cell r="I27" t="str">
            <v>5304</v>
          </cell>
          <cell r="J27">
            <v>535370</v>
          </cell>
          <cell r="K27" t="str">
            <v>Hải Dương</v>
          </cell>
          <cell r="L27" t="str">
            <v>VHX</v>
          </cell>
          <cell r="M27" t="str">
            <v>Thôn Thái Dương Thượng Tây</v>
          </cell>
        </row>
        <row r="28">
          <cell r="B28">
            <v>536751</v>
          </cell>
          <cell r="C28" t="str">
            <v>53</v>
          </cell>
          <cell r="D28" t="str">
            <v>BĐTP Huế</v>
          </cell>
          <cell r="E28" t="str">
            <v>5310</v>
          </cell>
          <cell r="F28" t="str">
            <v>Bưu điện Huế</v>
          </cell>
          <cell r="G28" t="str">
            <v>5300</v>
          </cell>
          <cell r="H28" t="str">
            <v>Bưu điện phường Thuận An</v>
          </cell>
          <cell r="I28" t="str">
            <v>5304</v>
          </cell>
          <cell r="J28">
            <v>536751</v>
          </cell>
          <cell r="K28" t="str">
            <v>Làng Rồng</v>
          </cell>
          <cell r="L28" t="str">
            <v>VHX</v>
          </cell>
          <cell r="M28" t="str">
            <v>Thôn An Hải</v>
          </cell>
        </row>
        <row r="29">
          <cell r="B29">
            <v>536730</v>
          </cell>
          <cell r="C29" t="str">
            <v>53</v>
          </cell>
          <cell r="D29" t="str">
            <v>BĐTP Huế</v>
          </cell>
          <cell r="E29" t="str">
            <v>5367</v>
          </cell>
          <cell r="F29" t="str">
            <v>Bưu điện Phú Vang</v>
          </cell>
          <cell r="G29" t="str">
            <v>5300</v>
          </cell>
          <cell r="H29" t="str">
            <v>Bưu điện phường Thuận An</v>
          </cell>
          <cell r="I29" t="str">
            <v>5304</v>
          </cell>
          <cell r="J29">
            <v>536730</v>
          </cell>
          <cell r="K29" t="str">
            <v>Phú Hải</v>
          </cell>
          <cell r="L29" t="str">
            <v>GD3</v>
          </cell>
          <cell r="M29" t="str">
            <v>Thôn Cự Lại Đông</v>
          </cell>
        </row>
        <row r="30">
          <cell r="B30">
            <v>536740</v>
          </cell>
          <cell r="C30" t="str">
            <v>53</v>
          </cell>
          <cell r="D30" t="str">
            <v>BĐTP Huế</v>
          </cell>
          <cell r="E30" t="str">
            <v>5367</v>
          </cell>
          <cell r="F30" t="str">
            <v>Bưu điện Phú Vang</v>
          </cell>
          <cell r="G30" t="str">
            <v>5300</v>
          </cell>
          <cell r="H30" t="str">
            <v>Bưu điện phường Thuận An</v>
          </cell>
          <cell r="I30" t="str">
            <v>5304</v>
          </cell>
          <cell r="J30">
            <v>536740</v>
          </cell>
          <cell r="K30" t="str">
            <v>Phú Thuận</v>
          </cell>
          <cell r="L30" t="str">
            <v>VHX</v>
          </cell>
          <cell r="M30" t="str">
            <v>Thôn An Dương</v>
          </cell>
        </row>
        <row r="31">
          <cell r="B31">
            <v>536752</v>
          </cell>
          <cell r="C31" t="str">
            <v>53</v>
          </cell>
          <cell r="D31" t="str">
            <v>BĐTP Huế</v>
          </cell>
          <cell r="E31" t="str">
            <v>5310</v>
          </cell>
          <cell r="F31" t="str">
            <v>Bưu điện Huế</v>
          </cell>
          <cell r="G31" t="str">
            <v>5300</v>
          </cell>
          <cell r="H31" t="str">
            <v>Bưu điện phường Thuận An</v>
          </cell>
          <cell r="I31" t="str">
            <v>5304</v>
          </cell>
          <cell r="J31">
            <v>536752</v>
          </cell>
          <cell r="K31" t="str">
            <v>Tân An (TD)</v>
          </cell>
          <cell r="L31" t="str">
            <v>VHX</v>
          </cell>
          <cell r="M31" t="str">
            <v>Thôn Tân An</v>
          </cell>
          <cell r="N31">
            <v>1</v>
          </cell>
        </row>
        <row r="32">
          <cell r="B32">
            <v>535340</v>
          </cell>
          <cell r="C32" t="str">
            <v>53</v>
          </cell>
          <cell r="D32" t="str">
            <v>BĐTP Huế</v>
          </cell>
          <cell r="E32" t="str">
            <v>5310</v>
          </cell>
          <cell r="F32" t="str">
            <v>Bưu điện Huế</v>
          </cell>
          <cell r="G32" t="str">
            <v>5301</v>
          </cell>
          <cell r="H32" t="str">
            <v>Bưu điện phường Hóa Châu</v>
          </cell>
          <cell r="I32" t="str">
            <v>5304</v>
          </cell>
          <cell r="J32">
            <v>535340</v>
          </cell>
          <cell r="K32" t="str">
            <v>Hương Phong</v>
          </cell>
          <cell r="L32" t="str">
            <v>VHX</v>
          </cell>
          <cell r="M32" t="str">
            <v>Thôn Vân Quật Thượng</v>
          </cell>
        </row>
        <row r="33">
          <cell r="B33">
            <v>535350</v>
          </cell>
          <cell r="C33" t="str">
            <v>53</v>
          </cell>
          <cell r="D33" t="str">
            <v>BĐTP Huế</v>
          </cell>
          <cell r="E33" t="str">
            <v>5310</v>
          </cell>
          <cell r="F33" t="str">
            <v>Bưu điện Huế</v>
          </cell>
          <cell r="G33" t="str">
            <v>5301</v>
          </cell>
          <cell r="H33" t="str">
            <v>Bưu điện phường Hóa Châu</v>
          </cell>
          <cell r="I33" t="str">
            <v>5304</v>
          </cell>
          <cell r="J33">
            <v>535350</v>
          </cell>
          <cell r="K33" t="str">
            <v>Hương Vinh</v>
          </cell>
          <cell r="L33" t="str">
            <v>VHX</v>
          </cell>
          <cell r="M33" t="str">
            <v>Thôn Triều Sơn Nam</v>
          </cell>
        </row>
        <row r="34">
          <cell r="B34">
            <v>534811</v>
          </cell>
          <cell r="C34" t="str">
            <v>53</v>
          </cell>
          <cell r="D34" t="str">
            <v>BĐTP Huế</v>
          </cell>
          <cell r="E34" t="str">
            <v>5346</v>
          </cell>
          <cell r="F34" t="str">
            <v>BĐKV Hương Trà - Quảng Điền</v>
          </cell>
          <cell r="G34" t="str">
            <v>5301</v>
          </cell>
          <cell r="H34" t="str">
            <v>Bưu điện phường Hóa Châu</v>
          </cell>
          <cell r="I34" t="str">
            <v>5304</v>
          </cell>
          <cell r="J34">
            <v>534811</v>
          </cell>
          <cell r="K34" t="str">
            <v>Quảng Thành</v>
          </cell>
          <cell r="L34" t="str">
            <v>VHX</v>
          </cell>
          <cell r="M34" t="str">
            <v>Thôn Thành Trung</v>
          </cell>
        </row>
        <row r="35">
          <cell r="B35">
            <v>536810</v>
          </cell>
          <cell r="C35" t="str">
            <v>53</v>
          </cell>
          <cell r="D35" t="str">
            <v>BĐTP Huế</v>
          </cell>
          <cell r="E35" t="str">
            <v>5310</v>
          </cell>
          <cell r="F35" t="str">
            <v>Bưu điện Huế</v>
          </cell>
          <cell r="G35" t="str">
            <v>5302</v>
          </cell>
          <cell r="H35" t="str">
            <v>Bưu điện phường Mỹ Thượng</v>
          </cell>
          <cell r="I35" t="str">
            <v>5304</v>
          </cell>
          <cell r="J35">
            <v>536810</v>
          </cell>
          <cell r="K35" t="str">
            <v>Trung Đông</v>
          </cell>
          <cell r="L35" t="str">
            <v>GD3</v>
          </cell>
          <cell r="M35" t="str">
            <v>Thôn Trung Đông</v>
          </cell>
        </row>
        <row r="36">
          <cell r="B36">
            <v>536801</v>
          </cell>
          <cell r="C36" t="str">
            <v>53</v>
          </cell>
          <cell r="D36" t="str">
            <v>BĐTP Huế</v>
          </cell>
          <cell r="E36" t="str">
            <v>5310</v>
          </cell>
          <cell r="F36" t="str">
            <v>Bưu điện Huế</v>
          </cell>
          <cell r="G36" t="str">
            <v>5302</v>
          </cell>
          <cell r="H36" t="str">
            <v>Bưu điện phường Mỹ Thượng</v>
          </cell>
          <cell r="I36" t="str">
            <v>5304</v>
          </cell>
          <cell r="J36">
            <v>536801</v>
          </cell>
          <cell r="K36" t="str">
            <v>Phú Thượng</v>
          </cell>
          <cell r="L36" t="str">
            <v>VHX</v>
          </cell>
          <cell r="M36" t="str">
            <v>Thôn Ngọc Anh</v>
          </cell>
        </row>
        <row r="37">
          <cell r="B37">
            <v>536720</v>
          </cell>
          <cell r="C37" t="str">
            <v>53</v>
          </cell>
          <cell r="D37" t="str">
            <v>BĐTP Huế</v>
          </cell>
          <cell r="E37" t="str">
            <v>5367</v>
          </cell>
          <cell r="F37" t="str">
            <v>Bưu điện Phú Vang</v>
          </cell>
          <cell r="G37" t="str">
            <v>5302</v>
          </cell>
          <cell r="H37" t="str">
            <v>Bưu điện phường Mỹ Thượng</v>
          </cell>
          <cell r="I37" t="str">
            <v>5304</v>
          </cell>
          <cell r="J37">
            <v>536720</v>
          </cell>
          <cell r="K37" t="str">
            <v>Phú An</v>
          </cell>
          <cell r="L37" t="str">
            <v>VHX</v>
          </cell>
          <cell r="M37" t="str">
            <v>Thôn Truyền Nam</v>
          </cell>
        </row>
        <row r="38">
          <cell r="B38">
            <v>536820</v>
          </cell>
          <cell r="C38" t="str">
            <v>53</v>
          </cell>
          <cell r="D38" t="str">
            <v>BĐTP Huế</v>
          </cell>
          <cell r="E38" t="str">
            <v>5367</v>
          </cell>
          <cell r="F38" t="str">
            <v>Bưu điện Phú Vang</v>
          </cell>
          <cell r="G38" t="str">
            <v>5302</v>
          </cell>
          <cell r="H38" t="str">
            <v>Bưu điện phường Mỹ Thượng</v>
          </cell>
          <cell r="I38" t="str">
            <v>5304</v>
          </cell>
          <cell r="J38">
            <v>536820</v>
          </cell>
          <cell r="K38" t="str">
            <v>Phú Mỹ</v>
          </cell>
          <cell r="L38" t="str">
            <v>VHX</v>
          </cell>
          <cell r="M38" t="str">
            <v>Thôn Vinh Vệ</v>
          </cell>
        </row>
        <row r="39">
          <cell r="B39">
            <v>531510</v>
          </cell>
          <cell r="C39" t="str">
            <v>53</v>
          </cell>
          <cell r="D39" t="str">
            <v>BĐTP Huế</v>
          </cell>
          <cell r="E39" t="str">
            <v>5310</v>
          </cell>
          <cell r="F39" t="str">
            <v>Bưu điện Huế</v>
          </cell>
          <cell r="G39" t="str">
            <v>5303</v>
          </cell>
          <cell r="H39" t="str">
            <v>Bưu điện phường Vỹ Dạ</v>
          </cell>
          <cell r="I39" t="str">
            <v>5304</v>
          </cell>
          <cell r="J39">
            <v>531510</v>
          </cell>
          <cell r="K39" t="str">
            <v>Vỹ Dạ</v>
          </cell>
          <cell r="L39" t="str">
            <v>GD3</v>
          </cell>
          <cell r="M39" t="str">
            <v>47 Hà Huy Giáp</v>
          </cell>
        </row>
        <row r="40">
          <cell r="B40">
            <v>536190</v>
          </cell>
          <cell r="C40" t="str">
            <v>53</v>
          </cell>
          <cell r="D40" t="str">
            <v>BĐTP Huế</v>
          </cell>
          <cell r="E40" t="str">
            <v>5310</v>
          </cell>
          <cell r="F40" t="str">
            <v>Bưu điện Huế</v>
          </cell>
          <cell r="G40" t="str">
            <v>5303</v>
          </cell>
          <cell r="H40" t="str">
            <v>Bưu điện phường Vỹ Dạ</v>
          </cell>
          <cell r="I40" t="str">
            <v>5304</v>
          </cell>
          <cell r="J40">
            <v>536190</v>
          </cell>
          <cell r="K40" t="str">
            <v>Thủy Vân</v>
          </cell>
          <cell r="L40" t="str">
            <v>VHX</v>
          </cell>
          <cell r="M40" t="str">
            <v>Thôn Xuân Hòa</v>
          </cell>
        </row>
        <row r="41">
          <cell r="B41">
            <v>530000</v>
          </cell>
          <cell r="C41" t="str">
            <v>53</v>
          </cell>
          <cell r="D41" t="str">
            <v>BĐTP Huế</v>
          </cell>
          <cell r="E41" t="str">
            <v>5310</v>
          </cell>
          <cell r="F41" t="str">
            <v>Bưu điện Huế</v>
          </cell>
          <cell r="G41" t="str">
            <v>5304</v>
          </cell>
          <cell r="H41" t="str">
            <v>Bưu điện phường Thuận Hóa</v>
          </cell>
          <cell r="I41" t="str">
            <v>*</v>
          </cell>
          <cell r="J41">
            <v>530000</v>
          </cell>
          <cell r="K41" t="str">
            <v>Huế</v>
          </cell>
          <cell r="L41" t="str">
            <v>GD1</v>
          </cell>
          <cell r="M41" t="str">
            <v>8 Đường Hoàng Hoa Thám</v>
          </cell>
        </row>
        <row r="42">
          <cell r="B42">
            <v>531106</v>
          </cell>
          <cell r="C42" t="str">
            <v>53</v>
          </cell>
          <cell r="D42" t="str">
            <v>BĐTP Huế</v>
          </cell>
          <cell r="E42" t="str">
            <v>5310</v>
          </cell>
          <cell r="F42" t="str">
            <v>Bưu điện Huế</v>
          </cell>
          <cell r="G42" t="str">
            <v>5304</v>
          </cell>
          <cell r="H42" t="str">
            <v>Bưu điện phường Thuận Hóa</v>
          </cell>
          <cell r="I42" t="str">
            <v>*</v>
          </cell>
          <cell r="J42">
            <v>531106</v>
          </cell>
          <cell r="K42" t="str">
            <v>VP BĐTP Huế</v>
          </cell>
          <cell r="L42" t="str">
            <v>VP</v>
          </cell>
          <cell r="M42" t="str">
            <v>08 Đường Hoàng Hoa Thám</v>
          </cell>
        </row>
        <row r="43">
          <cell r="B43">
            <v>531421</v>
          </cell>
          <cell r="C43" t="str">
            <v>53</v>
          </cell>
          <cell r="D43" t="str">
            <v>BĐTP Huế</v>
          </cell>
          <cell r="E43" t="str">
            <v>5310</v>
          </cell>
          <cell r="F43" t="str">
            <v>Bưu điện Huế</v>
          </cell>
          <cell r="G43" t="str">
            <v>5304</v>
          </cell>
          <cell r="H43" t="str">
            <v>Bưu điện phường Thuận Hóa</v>
          </cell>
          <cell r="J43">
            <v>531421</v>
          </cell>
          <cell r="K43" t="str">
            <v>Bà Triệu (TD)</v>
          </cell>
          <cell r="L43" t="str">
            <v>DLY</v>
          </cell>
          <cell r="M43" t="str">
            <v>75 Đường Bà Triệu</v>
          </cell>
          <cell r="N43">
            <v>1</v>
          </cell>
        </row>
        <row r="44">
          <cell r="B44">
            <v>531110</v>
          </cell>
          <cell r="C44" t="str">
            <v>53</v>
          </cell>
          <cell r="D44" t="str">
            <v>BĐTP Huế</v>
          </cell>
          <cell r="E44" t="str">
            <v>5310</v>
          </cell>
          <cell r="F44" t="str">
            <v>Bưu điện Huế</v>
          </cell>
          <cell r="G44" t="str">
            <v>5304</v>
          </cell>
          <cell r="H44" t="str">
            <v>Bưu điện phường Thuận Hóa</v>
          </cell>
          <cell r="I44" t="str">
            <v>5304</v>
          </cell>
          <cell r="J44">
            <v>531110</v>
          </cell>
          <cell r="K44" t="str">
            <v>Trung tâm Hành chính công</v>
          </cell>
          <cell r="L44" t="str">
            <v>GD3</v>
          </cell>
          <cell r="M44" t="str">
            <v>1 Đường Lê Lai</v>
          </cell>
        </row>
        <row r="45">
          <cell r="B45">
            <v>532270</v>
          </cell>
          <cell r="C45" t="str">
            <v>53</v>
          </cell>
          <cell r="D45" t="str">
            <v>BĐTP Huế</v>
          </cell>
          <cell r="E45" t="str">
            <v>5310</v>
          </cell>
          <cell r="F45" t="str">
            <v>Bưu điện Huế</v>
          </cell>
          <cell r="G45" t="str">
            <v>5304</v>
          </cell>
          <cell r="H45" t="str">
            <v>Bưu điện phường Thuận Hóa</v>
          </cell>
          <cell r="J45">
            <v>532270</v>
          </cell>
          <cell r="K45" t="str">
            <v>Chợ Đồn (TD)</v>
          </cell>
          <cell r="L45" t="str">
            <v>DLY</v>
          </cell>
          <cell r="M45" t="str">
            <v>195 Đường Đào Duy Anh</v>
          </cell>
          <cell r="N45">
            <v>1</v>
          </cell>
        </row>
        <row r="46">
          <cell r="B46">
            <v>536800</v>
          </cell>
          <cell r="C46" t="str">
            <v>53</v>
          </cell>
          <cell r="D46" t="str">
            <v>BĐTP Huế</v>
          </cell>
          <cell r="E46" t="str">
            <v>5310</v>
          </cell>
          <cell r="F46" t="str">
            <v>Bưu điện Huế</v>
          </cell>
          <cell r="G46" t="str">
            <v>5304</v>
          </cell>
          <cell r="H46" t="str">
            <v>Bưu điện phường Thuận Hóa</v>
          </cell>
          <cell r="J46">
            <v>536800</v>
          </cell>
          <cell r="K46" t="str">
            <v>Chợ Mai (TD)</v>
          </cell>
          <cell r="L46" t="str">
            <v>BOX</v>
          </cell>
          <cell r="M46" t="str">
            <v>Thôn Nam Thượng</v>
          </cell>
          <cell r="N46">
            <v>1</v>
          </cell>
        </row>
        <row r="47">
          <cell r="B47">
            <v>536715</v>
          </cell>
          <cell r="C47" t="str">
            <v>53</v>
          </cell>
          <cell r="D47" t="str">
            <v>BĐTP Huế</v>
          </cell>
          <cell r="E47" t="str">
            <v>5310</v>
          </cell>
          <cell r="F47" t="str">
            <v>Bưu điện Huế</v>
          </cell>
          <cell r="G47" t="str">
            <v>5304</v>
          </cell>
          <cell r="H47" t="str">
            <v>Bưu điện phường Thuận Hóa</v>
          </cell>
          <cell r="J47">
            <v>536715</v>
          </cell>
          <cell r="K47" t="str">
            <v>Phú Thượng (TD)</v>
          </cell>
          <cell r="L47" t="str">
            <v>PH2</v>
          </cell>
          <cell r="M47" t="str">
            <v>Thôn Trung Đông</v>
          </cell>
          <cell r="N47">
            <v>1</v>
          </cell>
        </row>
        <row r="48">
          <cell r="B48">
            <v>533810</v>
          </cell>
          <cell r="C48" t="str">
            <v>53</v>
          </cell>
          <cell r="D48" t="str">
            <v>BĐTP Huế</v>
          </cell>
          <cell r="E48" t="str">
            <v>5310</v>
          </cell>
          <cell r="F48" t="str">
            <v>Bưu điện Huế</v>
          </cell>
          <cell r="G48" t="str">
            <v>5305</v>
          </cell>
          <cell r="H48" t="str">
            <v>Bưu điện phường An Cựu</v>
          </cell>
          <cell r="I48" t="str">
            <v>5304</v>
          </cell>
          <cell r="J48">
            <v>533810</v>
          </cell>
          <cell r="K48" t="str">
            <v>Thuỷ An</v>
          </cell>
          <cell r="L48" t="str">
            <v>VHX</v>
          </cell>
          <cell r="M48" t="str">
            <v>22 Đường Hoàng Quốc Việt</v>
          </cell>
        </row>
        <row r="49">
          <cell r="B49">
            <v>536231</v>
          </cell>
          <cell r="C49" t="str">
            <v>53</v>
          </cell>
          <cell r="D49" t="str">
            <v>BĐTP Huế</v>
          </cell>
          <cell r="E49" t="str">
            <v>5310</v>
          </cell>
          <cell r="F49" t="str">
            <v>Bưu điện Huế</v>
          </cell>
          <cell r="G49" t="str">
            <v>5306</v>
          </cell>
          <cell r="H49" t="str">
            <v>Bưu điện phường Thủy Xuân</v>
          </cell>
          <cell r="I49" t="str">
            <v>5304</v>
          </cell>
          <cell r="J49">
            <v>536231</v>
          </cell>
          <cell r="K49" t="str">
            <v>Thủy Bằng</v>
          </cell>
          <cell r="L49" t="str">
            <v>VHX</v>
          </cell>
          <cell r="M49" t="str">
            <v>Thôn Bằng Lãng</v>
          </cell>
        </row>
        <row r="50">
          <cell r="B50">
            <v>533150</v>
          </cell>
          <cell r="C50" t="str">
            <v>53</v>
          </cell>
          <cell r="D50" t="str">
            <v>BĐTP Huế</v>
          </cell>
          <cell r="E50" t="str">
            <v>5310</v>
          </cell>
          <cell r="F50" t="str">
            <v>Bưu điện Huế</v>
          </cell>
          <cell r="G50" t="str">
            <v>5306</v>
          </cell>
          <cell r="H50" t="str">
            <v>Bưu điện phường Thủy Xuân</v>
          </cell>
          <cell r="I50" t="str">
            <v>5304</v>
          </cell>
          <cell r="J50">
            <v>533150</v>
          </cell>
          <cell r="K50" t="str">
            <v>Thuỷ Biều</v>
          </cell>
          <cell r="L50" t="str">
            <v>VHX</v>
          </cell>
          <cell r="M50" t="str">
            <v>21 Đường Ngô Hà</v>
          </cell>
        </row>
        <row r="51">
          <cell r="B51">
            <v>533250</v>
          </cell>
          <cell r="C51" t="str">
            <v>53</v>
          </cell>
          <cell r="D51" t="str">
            <v>BĐTP Huế</v>
          </cell>
          <cell r="E51" t="str">
            <v>5310</v>
          </cell>
          <cell r="F51" t="str">
            <v>Bưu điện Huế</v>
          </cell>
          <cell r="G51" t="str">
            <v>5306</v>
          </cell>
          <cell r="H51" t="str">
            <v>Bưu điện phường Thủy Xuân</v>
          </cell>
          <cell r="I51" t="str">
            <v>5304</v>
          </cell>
          <cell r="J51">
            <v>533250</v>
          </cell>
          <cell r="K51" t="str">
            <v>Thuỷ Xuân</v>
          </cell>
          <cell r="L51" t="str">
            <v>VHX</v>
          </cell>
          <cell r="M51" t="str">
            <v>45 Đường Minh Mạng</v>
          </cell>
        </row>
        <row r="52">
          <cell r="B52">
            <v>532760</v>
          </cell>
          <cell r="C52" t="str">
            <v>53</v>
          </cell>
          <cell r="D52" t="str">
            <v>BĐTP Huế</v>
          </cell>
          <cell r="E52" t="str">
            <v>5310</v>
          </cell>
          <cell r="F52" t="str">
            <v>Bưu điện Huế</v>
          </cell>
          <cell r="G52" t="str">
            <v>5307</v>
          </cell>
          <cell r="H52" t="str">
            <v>Bưu điện phường Kim Long</v>
          </cell>
          <cell r="I52" t="str">
            <v>5304</v>
          </cell>
          <cell r="J52">
            <v>532760</v>
          </cell>
          <cell r="K52" t="str">
            <v>Kim Long</v>
          </cell>
          <cell r="L52" t="str">
            <v>GD3</v>
          </cell>
          <cell r="M52" t="str">
            <v>118 Đường Kim Long</v>
          </cell>
        </row>
        <row r="53">
          <cell r="B53">
            <v>535550</v>
          </cell>
          <cell r="C53" t="str">
            <v>53</v>
          </cell>
          <cell r="D53" t="str">
            <v>BĐTP Huế</v>
          </cell>
          <cell r="E53" t="str">
            <v>5310</v>
          </cell>
          <cell r="F53" t="str">
            <v>Bưu điện Huế</v>
          </cell>
          <cell r="G53" t="str">
            <v>5307</v>
          </cell>
          <cell r="H53" t="str">
            <v>Bưu điện phường Kim Long</v>
          </cell>
          <cell r="I53" t="str">
            <v>5304</v>
          </cell>
          <cell r="J53">
            <v>535550</v>
          </cell>
          <cell r="K53" t="str">
            <v>Hương Hồ</v>
          </cell>
          <cell r="L53" t="str">
            <v>VHX</v>
          </cell>
          <cell r="M53" t="str">
            <v>Thôn Long Hồ Hạ</v>
          </cell>
        </row>
        <row r="54">
          <cell r="B54">
            <v>532920</v>
          </cell>
          <cell r="C54" t="str">
            <v>53</v>
          </cell>
          <cell r="D54" t="str">
            <v>BĐTP Huế</v>
          </cell>
          <cell r="E54" t="str">
            <v>5310</v>
          </cell>
          <cell r="F54" t="str">
            <v>Bưu điện Huế</v>
          </cell>
          <cell r="G54" t="str">
            <v>5307</v>
          </cell>
          <cell r="H54" t="str">
            <v>Bưu điện phường Kim Long</v>
          </cell>
          <cell r="I54" t="str">
            <v>5304</v>
          </cell>
          <cell r="J54">
            <v>532920</v>
          </cell>
          <cell r="K54" t="str">
            <v>Hương Long</v>
          </cell>
          <cell r="L54" t="str">
            <v>VHX</v>
          </cell>
          <cell r="M54" t="str">
            <v>89 Đường Lý Nam Đế</v>
          </cell>
        </row>
        <row r="55">
          <cell r="B55">
            <v>535570</v>
          </cell>
          <cell r="C55" t="str">
            <v>53</v>
          </cell>
          <cell r="D55" t="str">
            <v>BĐTP Huế</v>
          </cell>
          <cell r="E55" t="str">
            <v>5310</v>
          </cell>
          <cell r="F55" t="str">
            <v>Bưu điện Huế</v>
          </cell>
          <cell r="G55" t="str">
            <v>5307</v>
          </cell>
          <cell r="H55" t="str">
            <v>Bưu điện phường Kim Long</v>
          </cell>
          <cell r="I55" t="str">
            <v>5304</v>
          </cell>
          <cell r="J55">
            <v>535570</v>
          </cell>
          <cell r="K55" t="str">
            <v>Hương Thọ</v>
          </cell>
          <cell r="L55" t="str">
            <v>VHX</v>
          </cell>
          <cell r="M55" t="str">
            <v>Thôn Liên Bằng</v>
          </cell>
        </row>
        <row r="56">
          <cell r="B56">
            <v>532950</v>
          </cell>
          <cell r="C56" t="str">
            <v>53</v>
          </cell>
          <cell r="D56" t="str">
            <v>BĐTP Huế</v>
          </cell>
          <cell r="E56" t="str">
            <v>5310</v>
          </cell>
          <cell r="F56" t="str">
            <v>Bưu điện Huế</v>
          </cell>
          <cell r="G56" t="str">
            <v>5308</v>
          </cell>
          <cell r="H56" t="str">
            <v>Bưu điện phường Hương An</v>
          </cell>
          <cell r="I56" t="str">
            <v>5304</v>
          </cell>
          <cell r="J56">
            <v>532950</v>
          </cell>
          <cell r="K56" t="str">
            <v>An Hoà</v>
          </cell>
          <cell r="L56" t="str">
            <v>GD3</v>
          </cell>
          <cell r="M56" t="str">
            <v>396 Đường Lê Duẩn</v>
          </cell>
        </row>
        <row r="57">
          <cell r="B57">
            <v>535530</v>
          </cell>
          <cell r="C57" t="str">
            <v>53</v>
          </cell>
          <cell r="D57" t="str">
            <v>BĐTP Huế</v>
          </cell>
          <cell r="E57" t="str">
            <v>5310</v>
          </cell>
          <cell r="F57" t="str">
            <v>Bưu điện Huế</v>
          </cell>
          <cell r="G57" t="str">
            <v>5308</v>
          </cell>
          <cell r="H57" t="str">
            <v>Bưu điện phường Hương An</v>
          </cell>
          <cell r="I57" t="str">
            <v>5304</v>
          </cell>
          <cell r="J57">
            <v>535530</v>
          </cell>
          <cell r="K57" t="str">
            <v>Hương An</v>
          </cell>
          <cell r="L57" t="str">
            <v>VHX</v>
          </cell>
          <cell r="M57" t="str">
            <v>Thôn Bồn Phổ</v>
          </cell>
        </row>
        <row r="58">
          <cell r="B58">
            <v>532530</v>
          </cell>
          <cell r="C58" t="str">
            <v>53</v>
          </cell>
          <cell r="D58" t="str">
            <v>BĐTP Huế</v>
          </cell>
          <cell r="E58" t="str">
            <v>5310</v>
          </cell>
          <cell r="F58" t="str">
            <v>Bưu điện Huế</v>
          </cell>
          <cell r="G58" t="str">
            <v>5308</v>
          </cell>
          <cell r="H58" t="str">
            <v>Bưu điện phường Hương An</v>
          </cell>
          <cell r="I58" t="str">
            <v>5304</v>
          </cell>
          <cell r="J58">
            <v>532530</v>
          </cell>
          <cell r="K58" t="str">
            <v>Hương Sơ</v>
          </cell>
          <cell r="L58" t="str">
            <v>VHX</v>
          </cell>
          <cell r="M58" t="str">
            <v>Thôn Lệ Khê</v>
          </cell>
        </row>
        <row r="59">
          <cell r="B59">
            <v>531107</v>
          </cell>
          <cell r="C59" t="str">
            <v>53</v>
          </cell>
          <cell r="D59" t="str">
            <v>BĐTP Huế</v>
          </cell>
          <cell r="E59" t="str">
            <v>5311</v>
          </cell>
          <cell r="F59" t="str">
            <v>Trung tâm khai thác Huế</v>
          </cell>
          <cell r="G59" t="str">
            <v>5309</v>
          </cell>
          <cell r="H59" t="str">
            <v>Văn phòng BĐTP Huế</v>
          </cell>
          <cell r="I59">
            <v>5309</v>
          </cell>
          <cell r="J59">
            <v>531107</v>
          </cell>
          <cell r="K59" t="str">
            <v>VP TTKT-VC</v>
          </cell>
          <cell r="L59" t="str">
            <v>VP</v>
          </cell>
          <cell r="M59" t="str">
            <v>08 Đường Hoàng Hoa Thám</v>
          </cell>
        </row>
        <row r="60">
          <cell r="B60">
            <v>531115</v>
          </cell>
          <cell r="C60" t="str">
            <v>53</v>
          </cell>
          <cell r="D60" t="str">
            <v>BĐTP Huế</v>
          </cell>
          <cell r="E60" t="str">
            <v>5309</v>
          </cell>
          <cell r="F60" t="str">
            <v>Văn phòng BĐT Thừa Thiên Huế</v>
          </cell>
          <cell r="G60" t="str">
            <v>5309</v>
          </cell>
          <cell r="H60" t="str">
            <v>Văn phòng BĐTP Huế</v>
          </cell>
          <cell r="I60" t="str">
            <v>5309</v>
          </cell>
          <cell r="J60">
            <v>531115</v>
          </cell>
          <cell r="K60" t="str">
            <v>KHL- Hành chính công (TD)</v>
          </cell>
          <cell r="L60" t="str">
            <v>GD3</v>
          </cell>
          <cell r="M60" t="str">
            <v>08 Đường Hoàng Hoa Thám</v>
          </cell>
          <cell r="N60">
            <v>1</v>
          </cell>
        </row>
        <row r="61">
          <cell r="B61">
            <v>531130</v>
          </cell>
          <cell r="C61" t="str">
            <v>53</v>
          </cell>
          <cell r="D61" t="str">
            <v>BĐTP Huế</v>
          </cell>
          <cell r="E61" t="str">
            <v>53</v>
          </cell>
          <cell r="F61" t="str">
            <v>Bưu điện Tỉnh Thừa Thiên Huế</v>
          </cell>
          <cell r="G61" t="str">
            <v>5309</v>
          </cell>
          <cell r="H61" t="str">
            <v>Văn phòng BĐTP Huế</v>
          </cell>
          <cell r="I61" t="str">
            <v>5309</v>
          </cell>
          <cell r="J61">
            <v>531130</v>
          </cell>
          <cell r="K61" t="str">
            <v>VP BĐ Thành Phố Huế</v>
          </cell>
          <cell r="L61" t="str">
            <v>VP</v>
          </cell>
          <cell r="M61" t="str">
            <v>Đường Hoàng Hoa Thám</v>
          </cell>
        </row>
        <row r="62">
          <cell r="B62">
            <v>530100</v>
          </cell>
          <cell r="C62" t="str">
            <v>53</v>
          </cell>
          <cell r="D62" t="str">
            <v>BĐTP Huế</v>
          </cell>
          <cell r="E62" t="str">
            <v>5311</v>
          </cell>
          <cell r="F62" t="str">
            <v>Trung tâm khai thác Huế</v>
          </cell>
          <cell r="G62" t="str">
            <v>5311</v>
          </cell>
          <cell r="H62" t="str">
            <v>KTC1 Huế 1</v>
          </cell>
          <cell r="I62">
            <v>5314</v>
          </cell>
          <cell r="J62">
            <v>530100</v>
          </cell>
          <cell r="K62" t="str">
            <v>KTC1 Huế 1</v>
          </cell>
          <cell r="L62" t="str">
            <v>KT1</v>
          </cell>
          <cell r="M62" t="str">
            <v>1 Khu CN Phú Bài</v>
          </cell>
        </row>
        <row r="63">
          <cell r="B63">
            <v>530900</v>
          </cell>
          <cell r="C63" t="str">
            <v>53</v>
          </cell>
          <cell r="D63" t="str">
            <v>BĐTP Huế</v>
          </cell>
          <cell r="E63" t="str">
            <v>5311</v>
          </cell>
          <cell r="F63" t="str">
            <v>Trung tâm khai thác Huế</v>
          </cell>
          <cell r="G63" t="str">
            <v>5311</v>
          </cell>
          <cell r="H63" t="str">
            <v>KTC1 Huế 1</v>
          </cell>
          <cell r="I63">
            <v>5314</v>
          </cell>
          <cell r="J63">
            <v>530900</v>
          </cell>
          <cell r="K63" t="str">
            <v>Hệ 1 Thừa Thiên Huế</v>
          </cell>
          <cell r="L63" t="str">
            <v>HE1</v>
          </cell>
          <cell r="M63" t="str">
            <v>8 Đường Hoàng Hoa Thám</v>
          </cell>
        </row>
        <row r="64">
          <cell r="B64">
            <v>536200</v>
          </cell>
          <cell r="C64" t="str">
            <v>53</v>
          </cell>
          <cell r="D64" t="str">
            <v>BĐTP Huế</v>
          </cell>
          <cell r="E64" t="str">
            <v>5361</v>
          </cell>
          <cell r="F64" t="str">
            <v>Bưu điện Hương Thuỷ</v>
          </cell>
          <cell r="G64" t="str">
            <v>5312</v>
          </cell>
          <cell r="H64" t="str">
            <v>Bưu điện phường Thanh Thủy</v>
          </cell>
          <cell r="I64" t="str">
            <v>5314</v>
          </cell>
          <cell r="J64">
            <v>536200</v>
          </cell>
          <cell r="K64" t="str">
            <v>Thủy Dương</v>
          </cell>
          <cell r="L64" t="str">
            <v>GD3</v>
          </cell>
          <cell r="M64" t="str">
            <v>Tổ 7</v>
          </cell>
        </row>
        <row r="65">
          <cell r="B65">
            <v>536210</v>
          </cell>
          <cell r="C65" t="str">
            <v>53</v>
          </cell>
          <cell r="D65" t="str">
            <v>BĐTP Huế</v>
          </cell>
          <cell r="E65" t="str">
            <v>5361</v>
          </cell>
          <cell r="F65" t="str">
            <v>Bưu điện Hương Thuỷ</v>
          </cell>
          <cell r="G65" t="str">
            <v>5312</v>
          </cell>
          <cell r="H65" t="str">
            <v>Bưu điện phường Thanh Thủy</v>
          </cell>
          <cell r="I65" t="str">
            <v>5314</v>
          </cell>
          <cell r="J65">
            <v>536210</v>
          </cell>
          <cell r="K65" t="str">
            <v>Thủy Phương</v>
          </cell>
          <cell r="L65" t="str">
            <v>VHX</v>
          </cell>
          <cell r="M65" t="str">
            <v>Tổ 3</v>
          </cell>
        </row>
        <row r="66">
          <cell r="B66">
            <v>536180</v>
          </cell>
          <cell r="C66" t="str">
            <v>53</v>
          </cell>
          <cell r="D66" t="str">
            <v>BĐTP Huế</v>
          </cell>
          <cell r="E66" t="str">
            <v>5361</v>
          </cell>
          <cell r="F66" t="str">
            <v>Bưu điện Hương Thuỷ</v>
          </cell>
          <cell r="G66" t="str">
            <v>5312</v>
          </cell>
          <cell r="H66" t="str">
            <v>Bưu điện phường Thanh Thủy</v>
          </cell>
          <cell r="I66" t="str">
            <v>5314</v>
          </cell>
          <cell r="J66">
            <v>536180</v>
          </cell>
          <cell r="K66" t="str">
            <v>Thủy Thanh</v>
          </cell>
          <cell r="L66" t="str">
            <v>VHX</v>
          </cell>
          <cell r="M66" t="str">
            <v>Thôn Thanh Thủy Chánh</v>
          </cell>
        </row>
        <row r="67">
          <cell r="B67">
            <v>536161</v>
          </cell>
          <cell r="C67" t="str">
            <v>53</v>
          </cell>
          <cell r="D67" t="str">
            <v>BĐTP Huế</v>
          </cell>
          <cell r="E67" t="str">
            <v>5361</v>
          </cell>
          <cell r="F67" t="str">
            <v>Bưu điện Hương Thuỷ</v>
          </cell>
          <cell r="G67" t="str">
            <v>5313</v>
          </cell>
          <cell r="H67" t="str">
            <v>Bưu điện phường Hương Thủy</v>
          </cell>
          <cell r="I67" t="str">
            <v>5314</v>
          </cell>
          <cell r="J67">
            <v>536161</v>
          </cell>
          <cell r="K67" t="str">
            <v>Thủy Châu</v>
          </cell>
          <cell r="L67" t="str">
            <v>VHX</v>
          </cell>
          <cell r="M67" t="str">
            <v>Tổ 11, Xóm Phù Nam I</v>
          </cell>
        </row>
        <row r="68">
          <cell r="B68">
            <v>536150</v>
          </cell>
          <cell r="C68" t="str">
            <v>53</v>
          </cell>
          <cell r="D68" t="str">
            <v>BĐTP Huế</v>
          </cell>
          <cell r="E68" t="str">
            <v>5361</v>
          </cell>
          <cell r="F68" t="str">
            <v>Bưu điện Hương Thuỷ</v>
          </cell>
          <cell r="G68" t="str">
            <v>5313</v>
          </cell>
          <cell r="H68" t="str">
            <v>Bưu điện phường Hương Thủy</v>
          </cell>
          <cell r="I68" t="str">
            <v>5314</v>
          </cell>
          <cell r="J68">
            <v>536150</v>
          </cell>
          <cell r="K68" t="str">
            <v>Thủy Lương</v>
          </cell>
          <cell r="L68" t="str">
            <v>VHX</v>
          </cell>
          <cell r="M68" t="str">
            <v>Tổ 6, Khu Lương Đông</v>
          </cell>
        </row>
        <row r="69">
          <cell r="B69">
            <v>536140</v>
          </cell>
          <cell r="C69" t="str">
            <v>53</v>
          </cell>
          <cell r="D69" t="str">
            <v>BĐTP Huế</v>
          </cell>
          <cell r="E69" t="str">
            <v>5361</v>
          </cell>
          <cell r="F69" t="str">
            <v>Bưu điện Hương Thuỷ</v>
          </cell>
          <cell r="G69" t="str">
            <v>5313</v>
          </cell>
          <cell r="H69" t="str">
            <v>Bưu điện phường Hương Thủy</v>
          </cell>
          <cell r="I69" t="str">
            <v>5314</v>
          </cell>
          <cell r="J69">
            <v>536140</v>
          </cell>
          <cell r="K69" t="str">
            <v>Thủy Tân</v>
          </cell>
          <cell r="L69" t="str">
            <v>VHX</v>
          </cell>
          <cell r="M69" t="str">
            <v>Thôn Tân Tô</v>
          </cell>
        </row>
        <row r="70">
          <cell r="B70">
            <v>536100</v>
          </cell>
          <cell r="C70" t="str">
            <v>53</v>
          </cell>
          <cell r="D70" t="str">
            <v>BĐTP Huế</v>
          </cell>
          <cell r="E70" t="str">
            <v>5361</v>
          </cell>
          <cell r="F70" t="str">
            <v>Bưu điện Hương Thuỷ</v>
          </cell>
          <cell r="G70" t="str">
            <v>5314</v>
          </cell>
          <cell r="H70" t="str">
            <v>Bưu điện phường Phú Bài</v>
          </cell>
          <cell r="I70" t="str">
            <v>*</v>
          </cell>
          <cell r="J70">
            <v>536100</v>
          </cell>
          <cell r="K70" t="str">
            <v>Hương Thủy</v>
          </cell>
          <cell r="L70" t="str">
            <v>GD2</v>
          </cell>
          <cell r="M70" t="str">
            <v>1028 Đường Nguyễn Tất Thành</v>
          </cell>
        </row>
        <row r="71">
          <cell r="B71">
            <v>536260</v>
          </cell>
          <cell r="C71" t="str">
            <v>53</v>
          </cell>
          <cell r="D71" t="str">
            <v>BĐTP Huế</v>
          </cell>
          <cell r="E71" t="str">
            <v>5361</v>
          </cell>
          <cell r="F71" t="str">
            <v>Bưu điện Hương Thuỷ</v>
          </cell>
          <cell r="G71" t="str">
            <v>5314</v>
          </cell>
          <cell r="H71" t="str">
            <v>Bưu điện phường Phú Bài</v>
          </cell>
          <cell r="I71" t="str">
            <v>*</v>
          </cell>
          <cell r="J71">
            <v>536260</v>
          </cell>
          <cell r="K71" t="str">
            <v>Dương Hòa</v>
          </cell>
          <cell r="L71" t="str">
            <v>VHX</v>
          </cell>
          <cell r="M71" t="str">
            <v>Thôn 5 Lương Miêu</v>
          </cell>
        </row>
        <row r="72">
          <cell r="B72">
            <v>536270</v>
          </cell>
          <cell r="C72" t="str">
            <v>53</v>
          </cell>
          <cell r="D72" t="str">
            <v>BĐTP Huế</v>
          </cell>
          <cell r="E72" t="str">
            <v>5361</v>
          </cell>
          <cell r="F72" t="str">
            <v>Bưu điện Hương Thuỷ</v>
          </cell>
          <cell r="G72" t="str">
            <v>5314</v>
          </cell>
          <cell r="H72" t="str">
            <v>Bưu điện phường Phú Bài</v>
          </cell>
          <cell r="I72" t="str">
            <v>*</v>
          </cell>
          <cell r="J72">
            <v>536270</v>
          </cell>
          <cell r="K72" t="str">
            <v>Phú Sơn</v>
          </cell>
          <cell r="L72" t="str">
            <v>VHX</v>
          </cell>
          <cell r="M72" t="str">
            <v>Thôn 2</v>
          </cell>
        </row>
        <row r="73">
          <cell r="B73">
            <v>536280</v>
          </cell>
          <cell r="C73" t="str">
            <v>53</v>
          </cell>
          <cell r="D73" t="str">
            <v>BĐTP Huế</v>
          </cell>
          <cell r="E73" t="str">
            <v>5361</v>
          </cell>
          <cell r="F73" t="str">
            <v>Bưu điện Hương Thuỷ</v>
          </cell>
          <cell r="G73" t="str">
            <v>5314</v>
          </cell>
          <cell r="H73" t="str">
            <v>Bưu điện phường Phú Bài</v>
          </cell>
          <cell r="I73" t="str">
            <v>*</v>
          </cell>
          <cell r="J73">
            <v>536280</v>
          </cell>
          <cell r="K73" t="str">
            <v>Thủy Phù</v>
          </cell>
          <cell r="L73" t="str">
            <v>VHX</v>
          </cell>
          <cell r="M73" t="str">
            <v>Thôn 5</v>
          </cell>
        </row>
        <row r="74">
          <cell r="B74">
            <v>536327</v>
          </cell>
          <cell r="C74" t="str">
            <v>53</v>
          </cell>
          <cell r="D74" t="str">
            <v>BĐTP Huế</v>
          </cell>
          <cell r="E74" t="str">
            <v>5361</v>
          </cell>
          <cell r="F74" t="str">
            <v>Bưu điện Hương Thuỷ</v>
          </cell>
          <cell r="G74" t="str">
            <v>5314</v>
          </cell>
          <cell r="H74" t="str">
            <v>Bưu điện phường Phú Bài</v>
          </cell>
          <cell r="I74" t="str">
            <v>*</v>
          </cell>
          <cell r="J74">
            <v>536327</v>
          </cell>
          <cell r="K74" t="str">
            <v>VP BĐTX Hương Thủy</v>
          </cell>
          <cell r="L74" t="str">
            <v>VP</v>
          </cell>
          <cell r="M74" t="str">
            <v>1028 Đường Nguyễn Tất Thành</v>
          </cell>
        </row>
        <row r="75">
          <cell r="B75">
            <v>536326</v>
          </cell>
          <cell r="C75" t="str">
            <v>53</v>
          </cell>
          <cell r="D75" t="str">
            <v>BĐTP Huế</v>
          </cell>
          <cell r="E75" t="str">
            <v>5361</v>
          </cell>
          <cell r="F75" t="str">
            <v>Bưu điện Hương Thuỷ</v>
          </cell>
          <cell r="G75" t="str">
            <v>5314</v>
          </cell>
          <cell r="H75" t="str">
            <v>Bưu điện phường Phú Bài</v>
          </cell>
          <cell r="J75">
            <v>536326</v>
          </cell>
          <cell r="K75" t="str">
            <v>Sân bay Phú Bài (TD)</v>
          </cell>
          <cell r="L75" t="str">
            <v>BOX</v>
          </cell>
          <cell r="M75" t="str">
            <v>Đường Nguyễn Tất Thành</v>
          </cell>
          <cell r="N75">
            <v>1</v>
          </cell>
        </row>
        <row r="76">
          <cell r="B76">
            <v>534990</v>
          </cell>
          <cell r="C76" t="str">
            <v>53</v>
          </cell>
          <cell r="D76" t="str">
            <v>BĐTP Huế</v>
          </cell>
          <cell r="E76" t="str">
            <v>5349</v>
          </cell>
          <cell r="F76" t="str">
            <v>Bưu điện Phong Điền</v>
          </cell>
          <cell r="G76" t="str">
            <v>5315</v>
          </cell>
          <cell r="H76" t="str">
            <v>Bưu điện phường Phong Điền</v>
          </cell>
          <cell r="I76" t="str">
            <v>5341</v>
          </cell>
          <cell r="J76">
            <v>534990</v>
          </cell>
          <cell r="K76" t="str">
            <v>BCP Phong Điền (TD)</v>
          </cell>
          <cell r="L76" t="str">
            <v>PH2</v>
          </cell>
          <cell r="M76" t="str">
            <v>Thôn Trạch Thượng 1</v>
          </cell>
          <cell r="N76">
            <v>1</v>
          </cell>
        </row>
        <row r="77">
          <cell r="B77">
            <v>534900</v>
          </cell>
          <cell r="C77" t="str">
            <v>53</v>
          </cell>
          <cell r="D77" t="str">
            <v>BĐTP Huế</v>
          </cell>
          <cell r="E77" t="str">
            <v>5349</v>
          </cell>
          <cell r="F77" t="str">
            <v>Bưu điện Phong Điền</v>
          </cell>
          <cell r="G77" t="str">
            <v>5315</v>
          </cell>
          <cell r="H77" t="str">
            <v>Bưu điện phường Phong Điền</v>
          </cell>
          <cell r="I77">
            <v>5341</v>
          </cell>
          <cell r="J77">
            <v>534900</v>
          </cell>
          <cell r="K77" t="str">
            <v>Phong Điền</v>
          </cell>
          <cell r="L77" t="str">
            <v>GD2</v>
          </cell>
          <cell r="M77" t="str">
            <v>Thôn Trạch Thượng 1</v>
          </cell>
        </row>
        <row r="78">
          <cell r="B78">
            <v>535120</v>
          </cell>
          <cell r="C78" t="str">
            <v>53</v>
          </cell>
          <cell r="D78" t="str">
            <v>BĐTP Huế</v>
          </cell>
          <cell r="E78" t="str">
            <v>5349</v>
          </cell>
          <cell r="F78" t="str">
            <v>Bưu điện Phong Điền</v>
          </cell>
          <cell r="G78" t="str">
            <v>5315</v>
          </cell>
          <cell r="H78" t="str">
            <v>Bưu điện phường Phong Điền</v>
          </cell>
          <cell r="I78">
            <v>5341</v>
          </cell>
          <cell r="J78">
            <v>535120</v>
          </cell>
          <cell r="K78" t="str">
            <v>Phong Xuân</v>
          </cell>
          <cell r="L78" t="str">
            <v>GD3</v>
          </cell>
          <cell r="M78" t="str">
            <v>Thôn Bình An</v>
          </cell>
        </row>
        <row r="79">
          <cell r="B79">
            <v>535100</v>
          </cell>
          <cell r="C79" t="str">
            <v>53</v>
          </cell>
          <cell r="D79" t="str">
            <v>BĐTP Huế</v>
          </cell>
          <cell r="E79" t="str">
            <v>5349</v>
          </cell>
          <cell r="F79" t="str">
            <v>Bưu điện Phong Điền</v>
          </cell>
          <cell r="G79" t="str">
            <v>5315</v>
          </cell>
          <cell r="H79" t="str">
            <v>Bưu điện phường Phong Điền</v>
          </cell>
          <cell r="I79">
            <v>5341</v>
          </cell>
          <cell r="J79">
            <v>535100</v>
          </cell>
          <cell r="K79" t="str">
            <v>Phong Mỹ</v>
          </cell>
          <cell r="L79" t="str">
            <v>VHX</v>
          </cell>
          <cell r="M79" t="str">
            <v>Thôn Lưu Hiền Hòa</v>
          </cell>
        </row>
        <row r="80">
          <cell r="B80">
            <v>535020</v>
          </cell>
          <cell r="C80" t="str">
            <v>53</v>
          </cell>
          <cell r="D80" t="str">
            <v>BĐTP Huế</v>
          </cell>
          <cell r="E80" t="str">
            <v>5349</v>
          </cell>
          <cell r="F80" t="str">
            <v>Bưu điện Phong Điền</v>
          </cell>
          <cell r="G80" t="str">
            <v>5315</v>
          </cell>
          <cell r="H80" t="str">
            <v>Bưu điện phường Phong Điền</v>
          </cell>
          <cell r="I80">
            <v>5341</v>
          </cell>
          <cell r="J80">
            <v>535020</v>
          </cell>
          <cell r="K80" t="str">
            <v>Phong Thu</v>
          </cell>
          <cell r="L80" t="str">
            <v>VHX</v>
          </cell>
          <cell r="M80" t="str">
            <v>Thôn Trạch Hữu</v>
          </cell>
        </row>
        <row r="81">
          <cell r="B81">
            <v>534989</v>
          </cell>
          <cell r="C81" t="str">
            <v>53</v>
          </cell>
          <cell r="D81" t="str">
            <v>BĐTP Huế</v>
          </cell>
          <cell r="E81" t="str">
            <v>5349</v>
          </cell>
          <cell r="F81" t="str">
            <v>Bưu điện Phong Điền</v>
          </cell>
          <cell r="G81" t="str">
            <v>5315</v>
          </cell>
          <cell r="H81" t="str">
            <v>Bưu điện phường Phong Điền</v>
          </cell>
          <cell r="I81">
            <v>5341</v>
          </cell>
          <cell r="J81">
            <v>534989</v>
          </cell>
          <cell r="K81" t="str">
            <v>Điền Hải (TD)</v>
          </cell>
          <cell r="L81" t="str">
            <v>BOX</v>
          </cell>
          <cell r="M81" t="str">
            <v>Thôn 2</v>
          </cell>
          <cell r="N81">
            <v>1</v>
          </cell>
        </row>
        <row r="82">
          <cell r="B82">
            <v>534907</v>
          </cell>
          <cell r="C82" t="str">
            <v>53</v>
          </cell>
          <cell r="D82" t="str">
            <v>BĐTP Huế</v>
          </cell>
          <cell r="E82" t="str">
            <v>5349</v>
          </cell>
          <cell r="F82" t="str">
            <v>Bưu điện Phong Điền</v>
          </cell>
          <cell r="G82" t="str">
            <v>5315</v>
          </cell>
          <cell r="H82" t="str">
            <v>Bưu điện phường Phong Điền</v>
          </cell>
          <cell r="I82">
            <v>5341</v>
          </cell>
          <cell r="J82">
            <v>534907</v>
          </cell>
          <cell r="K82" t="str">
            <v>VP BĐH Phong Điền</v>
          </cell>
          <cell r="L82" t="str">
            <v>VP</v>
          </cell>
          <cell r="M82" t="str">
            <v>Thôn Trạch Thượng 1</v>
          </cell>
        </row>
        <row r="83">
          <cell r="B83">
            <v>535140</v>
          </cell>
          <cell r="C83" t="str">
            <v>53</v>
          </cell>
          <cell r="D83" t="str">
            <v>BĐTP Huế</v>
          </cell>
          <cell r="E83" t="str">
            <v>5349</v>
          </cell>
          <cell r="F83" t="str">
            <v>Bưu điện Phong Điền</v>
          </cell>
          <cell r="G83" t="str">
            <v>5316</v>
          </cell>
          <cell r="H83" t="str">
            <v>Bưu điện phường Phong Thái</v>
          </cell>
          <cell r="I83">
            <v>5341</v>
          </cell>
          <cell r="J83">
            <v>535140</v>
          </cell>
          <cell r="K83" t="str">
            <v>An Lỗ</v>
          </cell>
          <cell r="L83" t="str">
            <v>GD3</v>
          </cell>
          <cell r="M83" t="str">
            <v>Thôn Bồ Điền</v>
          </cell>
        </row>
        <row r="84">
          <cell r="B84">
            <v>535141</v>
          </cell>
          <cell r="C84" t="str">
            <v>53</v>
          </cell>
          <cell r="D84" t="str">
            <v>BĐTP Huế</v>
          </cell>
          <cell r="E84" t="str">
            <v>5349</v>
          </cell>
          <cell r="F84" t="str">
            <v>Bưu điện Phong Điền</v>
          </cell>
          <cell r="G84" t="str">
            <v>5316</v>
          </cell>
          <cell r="H84" t="str">
            <v>Bưu điện phường Phong Thái</v>
          </cell>
          <cell r="I84">
            <v>5341</v>
          </cell>
          <cell r="J84">
            <v>535141</v>
          </cell>
          <cell r="K84" t="str">
            <v>Phong An</v>
          </cell>
          <cell r="L84" t="str">
            <v>VHX</v>
          </cell>
          <cell r="M84" t="str">
            <v>Thôn Phò Ninh</v>
          </cell>
        </row>
        <row r="85">
          <cell r="B85">
            <v>534910</v>
          </cell>
          <cell r="C85" t="str">
            <v>53</v>
          </cell>
          <cell r="D85" t="str">
            <v>BĐTP Huế</v>
          </cell>
          <cell r="E85" t="str">
            <v>5349</v>
          </cell>
          <cell r="F85" t="str">
            <v>Bưu điện Phong Điền</v>
          </cell>
          <cell r="G85" t="str">
            <v>5316</v>
          </cell>
          <cell r="H85" t="str">
            <v>Bưu điện phường Phong Thái</v>
          </cell>
          <cell r="I85">
            <v>5341</v>
          </cell>
          <cell r="J85">
            <v>534910</v>
          </cell>
          <cell r="K85" t="str">
            <v>Phong Hiền</v>
          </cell>
          <cell r="L85" t="str">
            <v>VHX</v>
          </cell>
          <cell r="M85" t="str">
            <v>Thôn An Lỗ</v>
          </cell>
        </row>
        <row r="86">
          <cell r="B86">
            <v>535160</v>
          </cell>
          <cell r="C86" t="str">
            <v>53</v>
          </cell>
          <cell r="D86" t="str">
            <v>BĐTP Huế</v>
          </cell>
          <cell r="E86" t="str">
            <v>5349</v>
          </cell>
          <cell r="F86" t="str">
            <v>Bưu điện Phong Điền</v>
          </cell>
          <cell r="G86" t="str">
            <v>5316</v>
          </cell>
          <cell r="H86" t="str">
            <v>Bưu điện phường Phong Thái</v>
          </cell>
          <cell r="I86">
            <v>5341</v>
          </cell>
          <cell r="J86">
            <v>535160</v>
          </cell>
          <cell r="K86" t="str">
            <v>Phong Sơn</v>
          </cell>
          <cell r="L86" t="str">
            <v>VHX</v>
          </cell>
          <cell r="M86" t="str">
            <v>Thôn Sơn Quả</v>
          </cell>
        </row>
        <row r="87">
          <cell r="B87">
            <v>535070</v>
          </cell>
          <cell r="C87" t="str">
            <v>53</v>
          </cell>
          <cell r="D87" t="str">
            <v>BĐTP Huế</v>
          </cell>
          <cell r="E87" t="str">
            <v>5349</v>
          </cell>
          <cell r="F87" t="str">
            <v>Bưu điện Phong Điền</v>
          </cell>
          <cell r="G87" t="str">
            <v>5317</v>
          </cell>
          <cell r="H87" t="str">
            <v>Bưu điện phường Phong Dinh</v>
          </cell>
          <cell r="I87">
            <v>5341</v>
          </cell>
          <cell r="J87">
            <v>535070</v>
          </cell>
          <cell r="K87" t="str">
            <v>Phong Bình</v>
          </cell>
          <cell r="L87" t="str">
            <v>VHX</v>
          </cell>
          <cell r="M87" t="str">
            <v>Thôn Tây Phú (phò Trạch)</v>
          </cell>
        </row>
        <row r="88">
          <cell r="B88">
            <v>534930</v>
          </cell>
          <cell r="C88" t="str">
            <v>53</v>
          </cell>
          <cell r="D88" t="str">
            <v>BĐTP Huế</v>
          </cell>
          <cell r="E88" t="str">
            <v>5349</v>
          </cell>
          <cell r="F88" t="str">
            <v>Bưu điện Phong Điền</v>
          </cell>
          <cell r="G88" t="str">
            <v>5317</v>
          </cell>
          <cell r="H88" t="str">
            <v>Bưu điện phường Phong Dinh</v>
          </cell>
          <cell r="I88">
            <v>5341</v>
          </cell>
          <cell r="J88">
            <v>534930</v>
          </cell>
          <cell r="K88" t="str">
            <v>Phong Chương</v>
          </cell>
          <cell r="L88" t="str">
            <v>VHX</v>
          </cell>
          <cell r="M88" t="str">
            <v>Thôn Trung Thạnh</v>
          </cell>
        </row>
        <row r="89">
          <cell r="B89">
            <v>535041</v>
          </cell>
          <cell r="C89" t="str">
            <v>53</v>
          </cell>
          <cell r="D89" t="str">
            <v>BĐTP Huế</v>
          </cell>
          <cell r="E89" t="str">
            <v>5349</v>
          </cell>
          <cell r="F89" t="str">
            <v>Bưu điện Phong Điền</v>
          </cell>
          <cell r="G89" t="str">
            <v>5317</v>
          </cell>
          <cell r="H89" t="str">
            <v>Bưu điện phường Phong Dinh</v>
          </cell>
          <cell r="I89">
            <v>5341</v>
          </cell>
          <cell r="J89">
            <v>535041</v>
          </cell>
          <cell r="K89" t="str">
            <v>Phong Hòa</v>
          </cell>
          <cell r="L89" t="str">
            <v>VHX</v>
          </cell>
          <cell r="M89" t="str">
            <v>Thôn Trạch Phổ</v>
          </cell>
        </row>
        <row r="90">
          <cell r="B90">
            <v>534960</v>
          </cell>
          <cell r="C90" t="str">
            <v>53</v>
          </cell>
          <cell r="D90" t="str">
            <v>BĐTP Huế</v>
          </cell>
          <cell r="E90" t="str">
            <v>5349</v>
          </cell>
          <cell r="F90" t="str">
            <v>Bưu điện Phong Điền</v>
          </cell>
          <cell r="G90" t="str">
            <v>5318</v>
          </cell>
          <cell r="H90" t="str">
            <v>Bưu điện phường Phong Phú</v>
          </cell>
          <cell r="I90">
            <v>5341</v>
          </cell>
          <cell r="J90">
            <v>534960</v>
          </cell>
          <cell r="K90" t="str">
            <v>Điền Hòa</v>
          </cell>
          <cell r="L90" t="str">
            <v>GD3</v>
          </cell>
          <cell r="M90" t="str">
            <v>Thôn 5</v>
          </cell>
        </row>
        <row r="91">
          <cell r="B91">
            <v>535090</v>
          </cell>
          <cell r="C91" t="str">
            <v>53</v>
          </cell>
          <cell r="D91" t="str">
            <v>BĐTP Huế</v>
          </cell>
          <cell r="E91" t="str">
            <v>5349</v>
          </cell>
          <cell r="F91" t="str">
            <v>Bưu điện Phong Điền</v>
          </cell>
          <cell r="G91" t="str">
            <v>5318</v>
          </cell>
          <cell r="H91" t="str">
            <v>Bưu điện phường Phong Phú</v>
          </cell>
          <cell r="I91">
            <v>5341</v>
          </cell>
          <cell r="J91">
            <v>535090</v>
          </cell>
          <cell r="K91" t="str">
            <v>Điền Hương</v>
          </cell>
          <cell r="L91" t="str">
            <v>VHX</v>
          </cell>
          <cell r="M91" t="str">
            <v>Thôn Thanh Hương Tây</v>
          </cell>
        </row>
        <row r="92">
          <cell r="B92">
            <v>534950</v>
          </cell>
          <cell r="C92" t="str">
            <v>53</v>
          </cell>
          <cell r="D92" t="str">
            <v>BĐTP Huế</v>
          </cell>
          <cell r="E92" t="str">
            <v>5349</v>
          </cell>
          <cell r="F92" t="str">
            <v>Bưu điện Phong Điền</v>
          </cell>
          <cell r="G92" t="str">
            <v>5318</v>
          </cell>
          <cell r="H92" t="str">
            <v>Bưu điện phường Phong Phú</v>
          </cell>
          <cell r="I92">
            <v>5341</v>
          </cell>
          <cell r="J92">
            <v>534950</v>
          </cell>
          <cell r="K92" t="str">
            <v>Điền Lộc</v>
          </cell>
          <cell r="L92" t="str">
            <v>VHX</v>
          </cell>
          <cell r="M92" t="str">
            <v>Thôn Nhất Tây</v>
          </cell>
        </row>
        <row r="93">
          <cell r="B93">
            <v>535010</v>
          </cell>
          <cell r="C93" t="str">
            <v>53</v>
          </cell>
          <cell r="D93" t="str">
            <v>BĐTP Huế</v>
          </cell>
          <cell r="E93" t="str">
            <v>5349</v>
          </cell>
          <cell r="F93" t="str">
            <v>Bưu điện Phong Điền</v>
          </cell>
          <cell r="G93" t="str">
            <v>5318</v>
          </cell>
          <cell r="H93" t="str">
            <v>Bưu điện phường Phong Phú</v>
          </cell>
          <cell r="I93">
            <v>5341</v>
          </cell>
          <cell r="J93">
            <v>535010</v>
          </cell>
          <cell r="K93" t="str">
            <v>Điền Môn</v>
          </cell>
          <cell r="L93" t="str">
            <v>VHX</v>
          </cell>
          <cell r="M93" t="str">
            <v>Thôn Kế Môn 1</v>
          </cell>
        </row>
        <row r="94">
          <cell r="B94">
            <v>534980</v>
          </cell>
          <cell r="C94" t="str">
            <v>53</v>
          </cell>
          <cell r="D94" t="str">
            <v>BĐTP Huế</v>
          </cell>
          <cell r="E94" t="str">
            <v>5349</v>
          </cell>
          <cell r="F94" t="str">
            <v>Bưu điện Phong Điền</v>
          </cell>
          <cell r="G94" t="str">
            <v>5319</v>
          </cell>
          <cell r="H94" t="str">
            <v>Bưu điện phường Phong Quảng</v>
          </cell>
          <cell r="I94" t="str">
            <v>5341</v>
          </cell>
          <cell r="J94">
            <v>534980</v>
          </cell>
          <cell r="K94" t="str">
            <v>Điền Hải</v>
          </cell>
          <cell r="L94" t="str">
            <v>VHX</v>
          </cell>
          <cell r="M94" t="str">
            <v>Thôn 4</v>
          </cell>
        </row>
        <row r="95">
          <cell r="B95">
            <v>535000</v>
          </cell>
          <cell r="C95" t="str">
            <v>53</v>
          </cell>
          <cell r="D95" t="str">
            <v>BĐTP Huế</v>
          </cell>
          <cell r="E95" t="str">
            <v>5349</v>
          </cell>
          <cell r="F95" t="str">
            <v>Bưu điện Phong Điền</v>
          </cell>
          <cell r="G95" t="str">
            <v>5319</v>
          </cell>
          <cell r="H95" t="str">
            <v>Bưu điện phường Phong Quảng</v>
          </cell>
          <cell r="I95" t="str">
            <v>5341</v>
          </cell>
          <cell r="J95">
            <v>535000</v>
          </cell>
          <cell r="K95" t="str">
            <v>Phong Hải</v>
          </cell>
          <cell r="L95" t="str">
            <v>VHX</v>
          </cell>
          <cell r="M95" t="str">
            <v>Thôn B1</v>
          </cell>
        </row>
        <row r="96">
          <cell r="B96">
            <v>534640</v>
          </cell>
          <cell r="C96" t="str">
            <v>53</v>
          </cell>
          <cell r="D96" t="str">
            <v>BĐTP Huế</v>
          </cell>
          <cell r="E96" t="str">
            <v>5346</v>
          </cell>
          <cell r="F96" t="str">
            <v>BĐKV Hương Trà - Quảng Điền</v>
          </cell>
          <cell r="G96" t="str">
            <v>5319</v>
          </cell>
          <cell r="H96" t="str">
            <v>Bưu điện phường Phong Quảng</v>
          </cell>
          <cell r="I96" t="str">
            <v>5341</v>
          </cell>
          <cell r="J96">
            <v>534640</v>
          </cell>
          <cell r="K96" t="str">
            <v>Quảng Công</v>
          </cell>
          <cell r="L96" t="str">
            <v>GD3</v>
          </cell>
          <cell r="M96" t="str">
            <v>Thôn 3</v>
          </cell>
        </row>
        <row r="97">
          <cell r="B97">
            <v>534661</v>
          </cell>
          <cell r="C97" t="str">
            <v>53</v>
          </cell>
          <cell r="D97" t="str">
            <v>BĐTP Huế</v>
          </cell>
          <cell r="E97" t="str">
            <v>5346</v>
          </cell>
          <cell r="F97" t="str">
            <v>BĐKV Hương Trà - Quảng Điền</v>
          </cell>
          <cell r="G97" t="str">
            <v>5319</v>
          </cell>
          <cell r="H97" t="str">
            <v>Bưu điện phường Phong Quảng</v>
          </cell>
          <cell r="I97" t="str">
            <v>5341</v>
          </cell>
          <cell r="J97">
            <v>534661</v>
          </cell>
          <cell r="K97" t="str">
            <v>Quảng Ngạn</v>
          </cell>
          <cell r="L97" t="str">
            <v>VHX</v>
          </cell>
          <cell r="M97" t="str">
            <v>Thôn 2</v>
          </cell>
        </row>
        <row r="98">
          <cell r="B98">
            <v>534680</v>
          </cell>
          <cell r="C98" t="str">
            <v>53</v>
          </cell>
          <cell r="D98" t="str">
            <v>BĐTP Huế</v>
          </cell>
          <cell r="E98" t="str">
            <v>5346</v>
          </cell>
          <cell r="F98" t="str">
            <v>BĐKV Hương Trà - Quảng Điền</v>
          </cell>
          <cell r="G98" t="str">
            <v>5320</v>
          </cell>
          <cell r="H98" t="str">
            <v>Bưu điện xã Đan Điền</v>
          </cell>
          <cell r="I98" t="str">
            <v>5341</v>
          </cell>
          <cell r="J98">
            <v>534680</v>
          </cell>
          <cell r="K98" t="str">
            <v>Quảng Lợi</v>
          </cell>
          <cell r="L98" t="str">
            <v>VHX</v>
          </cell>
          <cell r="M98" t="str">
            <v>Thôn Mỹ Thạnh</v>
          </cell>
        </row>
        <row r="99">
          <cell r="B99">
            <v>534750</v>
          </cell>
          <cell r="C99" t="str">
            <v>53</v>
          </cell>
          <cell r="D99" t="str">
            <v>BĐTP Huế</v>
          </cell>
          <cell r="E99" t="str">
            <v>5346</v>
          </cell>
          <cell r="F99" t="str">
            <v>BĐKV Hương Trà - Quảng Điền</v>
          </cell>
          <cell r="G99" t="str">
            <v>5320</v>
          </cell>
          <cell r="H99" t="str">
            <v>Bưu điện xã Đan Điền</v>
          </cell>
          <cell r="I99" t="str">
            <v>5341</v>
          </cell>
          <cell r="J99">
            <v>534750</v>
          </cell>
          <cell r="K99" t="str">
            <v>Quảng Phú</v>
          </cell>
          <cell r="L99" t="str">
            <v>VHX</v>
          </cell>
          <cell r="M99" t="str">
            <v>Thôn Hạ Lang</v>
          </cell>
        </row>
        <row r="100">
          <cell r="B100">
            <v>534700</v>
          </cell>
          <cell r="C100" t="str">
            <v>53</v>
          </cell>
          <cell r="D100" t="str">
            <v>BĐTP Huế</v>
          </cell>
          <cell r="E100" t="str">
            <v>5346</v>
          </cell>
          <cell r="F100" t="str">
            <v>BĐKV Hương Trà - Quảng Điền</v>
          </cell>
          <cell r="G100" t="str">
            <v>5320</v>
          </cell>
          <cell r="H100" t="str">
            <v>Bưu điện xã Đan Điền</v>
          </cell>
          <cell r="I100" t="str">
            <v>5341</v>
          </cell>
          <cell r="J100">
            <v>534700</v>
          </cell>
          <cell r="K100" t="str">
            <v>Quảng Thái</v>
          </cell>
          <cell r="L100" t="str">
            <v>VHX</v>
          </cell>
          <cell r="M100" t="str">
            <v>Thôn Đông Hồ</v>
          </cell>
        </row>
        <row r="101">
          <cell r="B101">
            <v>534720</v>
          </cell>
          <cell r="C101" t="str">
            <v>53</v>
          </cell>
          <cell r="D101" t="str">
            <v>BĐTP Huế</v>
          </cell>
          <cell r="E101" t="str">
            <v>5346</v>
          </cell>
          <cell r="F101" t="str">
            <v>BĐKV Hương Trà - Quảng Điền</v>
          </cell>
          <cell r="G101" t="str">
            <v>5320</v>
          </cell>
          <cell r="H101" t="str">
            <v>Bưu điện xã Đan Điền</v>
          </cell>
          <cell r="I101" t="str">
            <v>5341</v>
          </cell>
          <cell r="J101">
            <v>534720</v>
          </cell>
          <cell r="K101" t="str">
            <v>Quảng Vinh</v>
          </cell>
          <cell r="L101" t="str">
            <v>VHX</v>
          </cell>
          <cell r="M101" t="str">
            <v>Thôn Sơn Tùng</v>
          </cell>
        </row>
        <row r="102">
          <cell r="B102">
            <v>534650</v>
          </cell>
          <cell r="C102" t="str">
            <v>53</v>
          </cell>
          <cell r="D102" t="str">
            <v>BĐTP Huế</v>
          </cell>
          <cell r="E102" t="str">
            <v>5346</v>
          </cell>
          <cell r="F102" t="str">
            <v>BĐKV Hương Trà - Quảng Điền</v>
          </cell>
          <cell r="G102" t="str">
            <v>5321</v>
          </cell>
          <cell r="H102" t="str">
            <v>Bưu điện xã Quảng Điền</v>
          </cell>
          <cell r="J102">
            <v>534650</v>
          </cell>
          <cell r="K102" t="str">
            <v>BCP Quảng Điền (TD)</v>
          </cell>
          <cell r="L102" t="str">
            <v>PH2</v>
          </cell>
          <cell r="M102" t="str">
            <v>Thôn Khuôn Phò Nam</v>
          </cell>
          <cell r="N102">
            <v>1</v>
          </cell>
        </row>
        <row r="103">
          <cell r="B103">
            <v>534600</v>
          </cell>
          <cell r="C103" t="str">
            <v>53</v>
          </cell>
          <cell r="D103" t="str">
            <v>BĐTP Huế</v>
          </cell>
          <cell r="E103" t="str">
            <v>5346</v>
          </cell>
          <cell r="F103" t="str">
            <v>BĐKV Hương Trà - Quảng Điền</v>
          </cell>
          <cell r="G103" t="str">
            <v>5321</v>
          </cell>
          <cell r="H103" t="str">
            <v>Bưu điện xã Quảng Điền</v>
          </cell>
          <cell r="I103" t="str">
            <v>5341</v>
          </cell>
          <cell r="J103">
            <v>534600</v>
          </cell>
          <cell r="K103" t="str">
            <v>Quảng Điền</v>
          </cell>
          <cell r="L103" t="str">
            <v>GD2</v>
          </cell>
          <cell r="M103" t="str">
            <v>45 Đường Nguyễn Kim Thành</v>
          </cell>
        </row>
        <row r="104">
          <cell r="B104">
            <v>534800</v>
          </cell>
          <cell r="C104" t="str">
            <v>53</v>
          </cell>
          <cell r="D104" t="str">
            <v>BĐTP Huế</v>
          </cell>
          <cell r="E104" t="str">
            <v>5346</v>
          </cell>
          <cell r="F104" t="str">
            <v>BĐKV Hương Trà - Quảng Điền</v>
          </cell>
          <cell r="G104" t="str">
            <v>5321</v>
          </cell>
          <cell r="H104" t="str">
            <v>Bưu điện xã Quảng Điền</v>
          </cell>
          <cell r="I104" t="str">
            <v>5341</v>
          </cell>
          <cell r="J104">
            <v>534800</v>
          </cell>
          <cell r="K104" t="str">
            <v>Quảng An</v>
          </cell>
          <cell r="L104" t="str">
            <v>VHX</v>
          </cell>
          <cell r="M104" t="str">
            <v>Thôn Mỹ Xá</v>
          </cell>
        </row>
        <row r="105">
          <cell r="B105">
            <v>534620</v>
          </cell>
          <cell r="C105" t="str">
            <v>53</v>
          </cell>
          <cell r="D105" t="str">
            <v>BĐTP Huế</v>
          </cell>
          <cell r="E105" t="str">
            <v>5346</v>
          </cell>
          <cell r="F105" t="str">
            <v>BĐKV Hương Trà - Quảng Điền</v>
          </cell>
          <cell r="G105" t="str">
            <v>5321</v>
          </cell>
          <cell r="H105" t="str">
            <v>Bưu điện xã Quảng Điền</v>
          </cell>
          <cell r="I105" t="str">
            <v>5341</v>
          </cell>
          <cell r="J105">
            <v>534620</v>
          </cell>
          <cell r="K105" t="str">
            <v>Quảng Phước</v>
          </cell>
          <cell r="L105" t="str">
            <v>VHX</v>
          </cell>
          <cell r="M105" t="str">
            <v>Thôn Khuôn Phò Đông</v>
          </cell>
        </row>
        <row r="106">
          <cell r="B106">
            <v>534770</v>
          </cell>
          <cell r="C106" t="str">
            <v>53</v>
          </cell>
          <cell r="D106" t="str">
            <v>BĐTP Huế</v>
          </cell>
          <cell r="E106" t="str">
            <v>5346</v>
          </cell>
          <cell r="F106" t="str">
            <v>BĐKV Hương Trà - Quảng Điền</v>
          </cell>
          <cell r="G106" t="str">
            <v>5321</v>
          </cell>
          <cell r="H106" t="str">
            <v>Bưu điện xã Quảng Điền</v>
          </cell>
          <cell r="I106" t="str">
            <v>5341</v>
          </cell>
          <cell r="J106">
            <v>534770</v>
          </cell>
          <cell r="K106" t="str">
            <v>Quảng Thọ</v>
          </cell>
          <cell r="L106" t="str">
            <v>VHX</v>
          </cell>
          <cell r="M106" t="str">
            <v>Thôn Tân Xuân Lai</v>
          </cell>
        </row>
        <row r="107">
          <cell r="B107">
            <v>534612</v>
          </cell>
          <cell r="C107" t="str">
            <v>53</v>
          </cell>
          <cell r="D107" t="str">
            <v>BĐTP Huế</v>
          </cell>
          <cell r="E107" t="str">
            <v>5346</v>
          </cell>
          <cell r="F107" t="str">
            <v>BĐKV Hương Trà - Quảng Điền</v>
          </cell>
          <cell r="G107" t="str">
            <v>5321</v>
          </cell>
          <cell r="H107" t="str">
            <v>Bưu điện xã Quảng Điền</v>
          </cell>
          <cell r="I107" t="str">
            <v>5341</v>
          </cell>
          <cell r="J107">
            <v>534612</v>
          </cell>
          <cell r="K107" t="str">
            <v>VP BĐH Quảng Điền</v>
          </cell>
          <cell r="L107" t="str">
            <v>VP</v>
          </cell>
          <cell r="M107" t="str">
            <v>Đường Nguyễn Kim Thành</v>
          </cell>
        </row>
        <row r="108">
          <cell r="B108">
            <v>536960</v>
          </cell>
          <cell r="C108" t="str">
            <v>53</v>
          </cell>
          <cell r="D108" t="str">
            <v>BĐTP Huế</v>
          </cell>
          <cell r="E108" t="str">
            <v>5367</v>
          </cell>
          <cell r="F108" t="str">
            <v>Bưu điện Phú Vang</v>
          </cell>
          <cell r="G108" t="str">
            <v>5322</v>
          </cell>
          <cell r="H108" t="str">
            <v>Bưu điện xã Phú Vinh</v>
          </cell>
          <cell r="I108">
            <v>5314</v>
          </cell>
          <cell r="J108">
            <v>536960</v>
          </cell>
          <cell r="K108" t="str">
            <v>Phú Diên</v>
          </cell>
          <cell r="L108" t="str">
            <v>GD3</v>
          </cell>
          <cell r="M108" t="str">
            <v>Thôn Thanh Dương</v>
          </cell>
        </row>
        <row r="109">
          <cell r="B109">
            <v>537000</v>
          </cell>
          <cell r="C109" t="str">
            <v>53</v>
          </cell>
          <cell r="D109" t="str">
            <v>BĐTP Huế</v>
          </cell>
          <cell r="E109" t="str">
            <v>5367</v>
          </cell>
          <cell r="F109" t="str">
            <v>Bưu điện Phú Vang</v>
          </cell>
          <cell r="G109" t="str">
            <v>5322</v>
          </cell>
          <cell r="H109" t="str">
            <v>Bưu điện xã Phú Vinh</v>
          </cell>
          <cell r="I109">
            <v>5314</v>
          </cell>
          <cell r="J109">
            <v>537000</v>
          </cell>
          <cell r="K109" t="str">
            <v>Vinh An</v>
          </cell>
          <cell r="L109" t="str">
            <v>GD3</v>
          </cell>
          <cell r="M109" t="str">
            <v>Thôn An Mỹ</v>
          </cell>
        </row>
        <row r="110">
          <cell r="B110">
            <v>536990</v>
          </cell>
          <cell r="C110" t="str">
            <v>53</v>
          </cell>
          <cell r="D110" t="str">
            <v>BĐTP Huế</v>
          </cell>
          <cell r="E110" t="str">
            <v>5367</v>
          </cell>
          <cell r="F110" t="str">
            <v>Bưu điện Phú Vang</v>
          </cell>
          <cell r="G110" t="str">
            <v>5322</v>
          </cell>
          <cell r="H110" t="str">
            <v>Bưu điện xã Phú Vinh</v>
          </cell>
          <cell r="I110">
            <v>5314</v>
          </cell>
          <cell r="J110">
            <v>536990</v>
          </cell>
          <cell r="K110" t="str">
            <v>Vinh Thanh</v>
          </cell>
          <cell r="L110" t="str">
            <v>VHX</v>
          </cell>
          <cell r="M110" t="str">
            <v>Thôn 3</v>
          </cell>
        </row>
        <row r="111">
          <cell r="B111">
            <v>536980</v>
          </cell>
          <cell r="C111" t="str">
            <v>53</v>
          </cell>
          <cell r="D111" t="str">
            <v>BĐTP Huế</v>
          </cell>
          <cell r="E111" t="str">
            <v>5367</v>
          </cell>
          <cell r="F111" t="str">
            <v>Bưu điện Phú Vang</v>
          </cell>
          <cell r="G111" t="str">
            <v>5322</v>
          </cell>
          <cell r="H111" t="str">
            <v>Bưu điện xã Phú Vinh</v>
          </cell>
          <cell r="I111">
            <v>5314</v>
          </cell>
          <cell r="J111">
            <v>536980</v>
          </cell>
          <cell r="K111" t="str">
            <v>Vinh Xuân</v>
          </cell>
          <cell r="L111" t="str">
            <v>VHX</v>
          </cell>
          <cell r="M111" t="str">
            <v>Thôn Tân Sa</v>
          </cell>
        </row>
        <row r="112">
          <cell r="B112">
            <v>536830</v>
          </cell>
          <cell r="C112" t="str">
            <v>53</v>
          </cell>
          <cell r="D112" t="str">
            <v>BĐTP Huế</v>
          </cell>
          <cell r="E112" t="str">
            <v>5367</v>
          </cell>
          <cell r="F112" t="str">
            <v>Bưu điện Phú Vang</v>
          </cell>
          <cell r="G112" t="str">
            <v>5323</v>
          </cell>
          <cell r="H112" t="str">
            <v>Bưu điện xã Phú Hồ</v>
          </cell>
          <cell r="I112">
            <v>5314</v>
          </cell>
          <cell r="J112">
            <v>536830</v>
          </cell>
          <cell r="K112" t="str">
            <v>Phú Hồ</v>
          </cell>
          <cell r="L112" t="str">
            <v>VHX</v>
          </cell>
          <cell r="M112" t="str">
            <v>Thôn Trung An</v>
          </cell>
        </row>
        <row r="113">
          <cell r="B113">
            <v>536850</v>
          </cell>
          <cell r="C113" t="str">
            <v>53</v>
          </cell>
          <cell r="D113" t="str">
            <v>BĐTP Huế</v>
          </cell>
          <cell r="E113" t="str">
            <v>5367</v>
          </cell>
          <cell r="F113" t="str">
            <v>Bưu điện Phú Vang</v>
          </cell>
          <cell r="G113" t="str">
            <v>5323</v>
          </cell>
          <cell r="H113" t="str">
            <v>Bưu điện xã Phú Hồ</v>
          </cell>
          <cell r="I113">
            <v>5314</v>
          </cell>
          <cell r="J113">
            <v>536850</v>
          </cell>
          <cell r="K113" t="str">
            <v>Phú Lương</v>
          </cell>
          <cell r="L113" t="str">
            <v>VHX</v>
          </cell>
          <cell r="M113" t="str">
            <v>Thôn Đông A</v>
          </cell>
        </row>
        <row r="114">
          <cell r="B114">
            <v>536940</v>
          </cell>
          <cell r="C114" t="str">
            <v>53</v>
          </cell>
          <cell r="D114" t="str">
            <v>BĐTP Huế</v>
          </cell>
          <cell r="E114" t="str">
            <v>5367</v>
          </cell>
          <cell r="F114" t="str">
            <v>Bưu điện Phú Vang</v>
          </cell>
          <cell r="G114" t="str">
            <v>5323</v>
          </cell>
          <cell r="H114" t="str">
            <v>Bưu điện xã Phú Hồ</v>
          </cell>
          <cell r="I114">
            <v>5314</v>
          </cell>
          <cell r="J114">
            <v>536940</v>
          </cell>
          <cell r="K114" t="str">
            <v>Phú Xuân</v>
          </cell>
          <cell r="L114" t="str">
            <v>VHX</v>
          </cell>
          <cell r="M114" t="str">
            <v>Thôn Quảng Xuyên</v>
          </cell>
        </row>
        <row r="115">
          <cell r="B115">
            <v>536700</v>
          </cell>
          <cell r="C115" t="str">
            <v>53</v>
          </cell>
          <cell r="D115" t="str">
            <v>BĐTP Huế</v>
          </cell>
          <cell r="E115" t="str">
            <v>5367</v>
          </cell>
          <cell r="F115" t="str">
            <v>Bưu điện Phú Vang</v>
          </cell>
          <cell r="G115" t="str">
            <v>5324</v>
          </cell>
          <cell r="H115" t="str">
            <v>Bưu điện xã Phú Vang</v>
          </cell>
          <cell r="I115">
            <v>5314</v>
          </cell>
          <cell r="J115">
            <v>536700</v>
          </cell>
          <cell r="K115" t="str">
            <v>Phú Vang</v>
          </cell>
          <cell r="L115" t="str">
            <v>GD2</v>
          </cell>
          <cell r="M115" t="str">
            <v>Thôn Hòa Tây</v>
          </cell>
        </row>
        <row r="116">
          <cell r="B116">
            <v>536890</v>
          </cell>
          <cell r="C116" t="str">
            <v>53</v>
          </cell>
          <cell r="D116" t="str">
            <v>BĐTP Huế</v>
          </cell>
          <cell r="E116" t="str">
            <v>5367</v>
          </cell>
          <cell r="F116" t="str">
            <v>Bưu điện Phú Vang</v>
          </cell>
          <cell r="G116" t="str">
            <v>5324</v>
          </cell>
          <cell r="H116" t="str">
            <v>Bưu điện xã Phú Vang</v>
          </cell>
          <cell r="I116">
            <v>5314</v>
          </cell>
          <cell r="J116">
            <v>536890</v>
          </cell>
          <cell r="K116" t="str">
            <v>Vinh Thái</v>
          </cell>
          <cell r="L116" t="str">
            <v>GD3</v>
          </cell>
          <cell r="M116" t="str">
            <v>Thôn Thanh Lam Bồ</v>
          </cell>
        </row>
        <row r="117">
          <cell r="B117">
            <v>536920</v>
          </cell>
          <cell r="C117" t="str">
            <v>53</v>
          </cell>
          <cell r="D117" t="str">
            <v>BĐTP Huế</v>
          </cell>
          <cell r="E117" t="str">
            <v>5367</v>
          </cell>
          <cell r="F117" t="str">
            <v>Bưu điện Phú Vang</v>
          </cell>
          <cell r="G117" t="str">
            <v>5324</v>
          </cell>
          <cell r="H117" t="str">
            <v>Bưu điện xã Phú Vang</v>
          </cell>
          <cell r="I117">
            <v>5314</v>
          </cell>
          <cell r="J117">
            <v>536920</v>
          </cell>
          <cell r="K117" t="str">
            <v>Vinh Hà</v>
          </cell>
          <cell r="L117" t="str">
            <v>VHX</v>
          </cell>
          <cell r="M117" t="str">
            <v>Thôn 5</v>
          </cell>
        </row>
        <row r="118">
          <cell r="B118">
            <v>536951</v>
          </cell>
          <cell r="C118" t="str">
            <v>53</v>
          </cell>
          <cell r="D118" t="str">
            <v>BĐTP Huế</v>
          </cell>
          <cell r="E118" t="str">
            <v>5367</v>
          </cell>
          <cell r="F118" t="str">
            <v>Bưu điện Phú Vang</v>
          </cell>
          <cell r="G118" t="str">
            <v>5324</v>
          </cell>
          <cell r="H118" t="str">
            <v>Bưu điện xã Phú Vang</v>
          </cell>
          <cell r="J118">
            <v>536951</v>
          </cell>
          <cell r="K118" t="str">
            <v>Lộc Sơn (TD)</v>
          </cell>
          <cell r="L118" t="str">
            <v>BOX</v>
          </cell>
          <cell r="M118" t="str">
            <v>Thôn Lộc Sơn</v>
          </cell>
          <cell r="N118">
            <v>1</v>
          </cell>
        </row>
        <row r="119">
          <cell r="B119">
            <v>536879</v>
          </cell>
          <cell r="C119" t="str">
            <v>53</v>
          </cell>
          <cell r="D119" t="str">
            <v>BĐTP Huế</v>
          </cell>
          <cell r="E119" t="str">
            <v>5367</v>
          </cell>
          <cell r="F119" t="str">
            <v>Bưu điện Phú Vang</v>
          </cell>
          <cell r="G119" t="str">
            <v>5324</v>
          </cell>
          <cell r="H119" t="str">
            <v>Bưu điện xã Phú Vang</v>
          </cell>
          <cell r="I119">
            <v>5314</v>
          </cell>
          <cell r="J119">
            <v>536879</v>
          </cell>
          <cell r="K119" t="str">
            <v>VP BĐH Phú Vang</v>
          </cell>
          <cell r="L119" t="str">
            <v>VP</v>
          </cell>
          <cell r="M119" t="str">
            <v>Thôn Hòa Tây</v>
          </cell>
        </row>
        <row r="120">
          <cell r="B120">
            <v>537150</v>
          </cell>
          <cell r="C120" t="str">
            <v>53</v>
          </cell>
          <cell r="D120" t="str">
            <v>BĐTP Huế</v>
          </cell>
          <cell r="E120" t="str">
            <v>5371</v>
          </cell>
          <cell r="F120" t="str">
            <v>Bưu điện Phú Lộc</v>
          </cell>
          <cell r="G120" t="str">
            <v>5325</v>
          </cell>
          <cell r="H120" t="str">
            <v>Bưu điện xã Vinh Lộc</v>
          </cell>
          <cell r="I120" t="str">
            <v>5328</v>
          </cell>
          <cell r="J120">
            <v>537150</v>
          </cell>
          <cell r="K120" t="str">
            <v>Cửa Tư Hiền</v>
          </cell>
          <cell r="L120" t="str">
            <v>GD3</v>
          </cell>
          <cell r="M120" t="str">
            <v>Thôn Hiền Vân 1</v>
          </cell>
        </row>
        <row r="121">
          <cell r="B121">
            <v>537180</v>
          </cell>
          <cell r="C121" t="str">
            <v>53</v>
          </cell>
          <cell r="D121" t="str">
            <v>BĐTP Huế</v>
          </cell>
          <cell r="E121" t="str">
            <v>5371</v>
          </cell>
          <cell r="F121" t="str">
            <v>Bưu điện Phú Lộc</v>
          </cell>
          <cell r="G121" t="str">
            <v>5325</v>
          </cell>
          <cell r="H121" t="str">
            <v>Bưu điện xã Vinh Lộc</v>
          </cell>
          <cell r="I121" t="str">
            <v>5328</v>
          </cell>
          <cell r="J121">
            <v>537180</v>
          </cell>
          <cell r="K121" t="str">
            <v>Phụng Chánh</v>
          </cell>
          <cell r="L121" t="str">
            <v>GD3</v>
          </cell>
          <cell r="M121" t="str">
            <v>Thôn Phụng Chánh</v>
          </cell>
        </row>
        <row r="122">
          <cell r="B122">
            <v>537160</v>
          </cell>
          <cell r="C122" t="str">
            <v>53</v>
          </cell>
          <cell r="D122" t="str">
            <v>BĐTP Huế</v>
          </cell>
          <cell r="E122" t="str">
            <v>5371</v>
          </cell>
          <cell r="F122" t="str">
            <v>Bưu điện Phú Lộc</v>
          </cell>
          <cell r="G122" t="str">
            <v>5325</v>
          </cell>
          <cell r="H122" t="str">
            <v>Bưu điện xã Vinh Lộc</v>
          </cell>
          <cell r="I122" t="str">
            <v>5328</v>
          </cell>
          <cell r="J122">
            <v>537160</v>
          </cell>
          <cell r="K122" t="str">
            <v>Vinh Hải</v>
          </cell>
          <cell r="L122" t="str">
            <v>VHX</v>
          </cell>
          <cell r="M122" t="str">
            <v>Thôn Đơn Chế</v>
          </cell>
        </row>
        <row r="123">
          <cell r="B123">
            <v>537181</v>
          </cell>
          <cell r="C123" t="str">
            <v>53</v>
          </cell>
          <cell r="D123" t="str">
            <v>BĐTP Huế</v>
          </cell>
          <cell r="E123" t="str">
            <v>5371</v>
          </cell>
          <cell r="F123" t="str">
            <v>Bưu điện Phú Lộc</v>
          </cell>
          <cell r="G123" t="str">
            <v>5325</v>
          </cell>
          <cell r="H123" t="str">
            <v>Bưu điện xã Vinh Lộc</v>
          </cell>
          <cell r="I123" t="str">
            <v>5328</v>
          </cell>
          <cell r="J123">
            <v>537181</v>
          </cell>
          <cell r="K123" t="str">
            <v>Vinh Hưng</v>
          </cell>
          <cell r="L123" t="str">
            <v>VHX</v>
          </cell>
          <cell r="M123" t="str">
            <v>Thôn Diêm Trường</v>
          </cell>
        </row>
        <row r="124">
          <cell r="B124">
            <v>537190</v>
          </cell>
          <cell r="C124" t="str">
            <v>53</v>
          </cell>
          <cell r="D124" t="str">
            <v>BĐTP Huế</v>
          </cell>
          <cell r="E124" t="str">
            <v>5371</v>
          </cell>
          <cell r="F124" t="str">
            <v>Bưu điện Phú Lộc</v>
          </cell>
          <cell r="G124" t="str">
            <v>5325</v>
          </cell>
          <cell r="H124" t="str">
            <v>Bưu điện xã Vinh Lộc</v>
          </cell>
          <cell r="I124" t="str">
            <v>5328</v>
          </cell>
          <cell r="J124">
            <v>537190</v>
          </cell>
          <cell r="K124" t="str">
            <v>Vinh Mỹ</v>
          </cell>
          <cell r="L124" t="str">
            <v>VHX</v>
          </cell>
          <cell r="M124" t="str">
            <v>Thôn 5</v>
          </cell>
        </row>
        <row r="125">
          <cell r="B125">
            <v>537230</v>
          </cell>
          <cell r="C125" t="str">
            <v>53</v>
          </cell>
          <cell r="D125" t="str">
            <v>BĐTP Huế</v>
          </cell>
          <cell r="E125" t="str">
            <v>5371</v>
          </cell>
          <cell r="F125" t="str">
            <v>Bưu điện Phú Lộc</v>
          </cell>
          <cell r="G125" t="str">
            <v>5326</v>
          </cell>
          <cell r="H125" t="str">
            <v>Bưu điện xã Hưng Lộc</v>
          </cell>
          <cell r="I125" t="str">
            <v>5328</v>
          </cell>
          <cell r="J125">
            <v>537230</v>
          </cell>
          <cell r="K125" t="str">
            <v>La Sơn</v>
          </cell>
          <cell r="L125" t="str">
            <v>GD3</v>
          </cell>
          <cell r="M125" t="str">
            <v>Thôn Vinh Sơn</v>
          </cell>
        </row>
        <row r="126">
          <cell r="B126">
            <v>537240</v>
          </cell>
          <cell r="C126" t="str">
            <v>53</v>
          </cell>
          <cell r="D126" t="str">
            <v>BĐTP Huế</v>
          </cell>
          <cell r="E126" t="str">
            <v>5371</v>
          </cell>
          <cell r="F126" t="str">
            <v>Bưu điện Phú Lộc</v>
          </cell>
          <cell r="G126" t="str">
            <v>5326</v>
          </cell>
          <cell r="H126" t="str">
            <v>Bưu điện xã Hưng Lộc</v>
          </cell>
          <cell r="I126" t="str">
            <v>5328</v>
          </cell>
          <cell r="J126">
            <v>537240</v>
          </cell>
          <cell r="K126" t="str">
            <v>Lộc Bổn</v>
          </cell>
          <cell r="L126" t="str">
            <v>VHX</v>
          </cell>
          <cell r="M126" t="str">
            <v>Thôn Hòa Mỹ</v>
          </cell>
        </row>
        <row r="127">
          <cell r="B127">
            <v>537231</v>
          </cell>
          <cell r="C127" t="str">
            <v>53</v>
          </cell>
          <cell r="D127" t="str">
            <v>BĐTP Huế</v>
          </cell>
          <cell r="E127" t="str">
            <v>5371</v>
          </cell>
          <cell r="F127" t="str">
            <v>Bưu điện Phú Lộc</v>
          </cell>
          <cell r="G127" t="str">
            <v>5326</v>
          </cell>
          <cell r="H127" t="str">
            <v>Bưu điện xã Hưng Lộc</v>
          </cell>
          <cell r="I127" t="str">
            <v>5328</v>
          </cell>
          <cell r="J127">
            <v>537231</v>
          </cell>
          <cell r="K127" t="str">
            <v>Lộc Sơn</v>
          </cell>
          <cell r="L127" t="str">
            <v>VHX</v>
          </cell>
          <cell r="M127" t="str">
            <v>Thôn La Sơn</v>
          </cell>
        </row>
        <row r="128">
          <cell r="B128">
            <v>537290</v>
          </cell>
          <cell r="C128" t="str">
            <v>53</v>
          </cell>
          <cell r="D128" t="str">
            <v>BĐTP Huế</v>
          </cell>
          <cell r="E128" t="str">
            <v>5371</v>
          </cell>
          <cell r="F128" t="str">
            <v>Bưu điện Phú Lộc</v>
          </cell>
          <cell r="G128" t="str">
            <v>5326</v>
          </cell>
          <cell r="H128" t="str">
            <v>Bưu điện xã Hưng Lộc</v>
          </cell>
          <cell r="I128" t="str">
            <v>5328</v>
          </cell>
          <cell r="J128">
            <v>537290</v>
          </cell>
          <cell r="K128" t="str">
            <v>Xuân Lộc</v>
          </cell>
          <cell r="L128" t="str">
            <v>VHX</v>
          </cell>
          <cell r="M128" t="str">
            <v>Thôn 3</v>
          </cell>
        </row>
        <row r="129">
          <cell r="B129">
            <v>537201</v>
          </cell>
          <cell r="C129" t="str">
            <v>53</v>
          </cell>
          <cell r="D129" t="str">
            <v>BĐTP Huế</v>
          </cell>
          <cell r="E129" t="str">
            <v>5371</v>
          </cell>
          <cell r="F129" t="str">
            <v>Bưu điện Phú Lộc</v>
          </cell>
          <cell r="G129" t="str">
            <v>5327</v>
          </cell>
          <cell r="H129" t="str">
            <v>Bưu điện xã Lộc An</v>
          </cell>
          <cell r="I129" t="str">
            <v>5328</v>
          </cell>
          <cell r="J129">
            <v>537201</v>
          </cell>
          <cell r="K129" t="str">
            <v>Lộc An</v>
          </cell>
          <cell r="L129" t="str">
            <v>VHX</v>
          </cell>
          <cell r="M129" t="str">
            <v>Thôn Bắc Trung</v>
          </cell>
        </row>
        <row r="130">
          <cell r="B130">
            <v>537250</v>
          </cell>
          <cell r="C130" t="str">
            <v>53</v>
          </cell>
          <cell r="D130" t="str">
            <v>BĐTP Huế</v>
          </cell>
          <cell r="E130" t="str">
            <v>5371</v>
          </cell>
          <cell r="F130" t="str">
            <v>Bưu điện Phú Lộc</v>
          </cell>
          <cell r="G130" t="str">
            <v>5327</v>
          </cell>
          <cell r="H130" t="str">
            <v>Bưu điện xã Lộc An</v>
          </cell>
          <cell r="I130" t="str">
            <v>5328</v>
          </cell>
          <cell r="J130">
            <v>537250</v>
          </cell>
          <cell r="K130" t="str">
            <v>Lộc Điền</v>
          </cell>
          <cell r="L130" t="str">
            <v>VHX</v>
          </cell>
          <cell r="M130" t="str">
            <v>Thôn Sư Lỗ</v>
          </cell>
        </row>
        <row r="131">
          <cell r="B131">
            <v>537270</v>
          </cell>
          <cell r="C131" t="str">
            <v>53</v>
          </cell>
          <cell r="D131" t="str">
            <v>BĐTP Huế</v>
          </cell>
          <cell r="E131" t="str">
            <v>5371</v>
          </cell>
          <cell r="F131" t="str">
            <v>Bưu điện Phú Lộc</v>
          </cell>
          <cell r="G131" t="str">
            <v>5327</v>
          </cell>
          <cell r="H131" t="str">
            <v>Bưu điện xã Lộc An</v>
          </cell>
          <cell r="I131" t="str">
            <v>5328</v>
          </cell>
          <cell r="J131">
            <v>537270</v>
          </cell>
          <cell r="K131" t="str">
            <v>Lộc Hòa</v>
          </cell>
          <cell r="L131" t="str">
            <v>VHX</v>
          </cell>
          <cell r="M131" t="str">
            <v>Thôn 5</v>
          </cell>
        </row>
        <row r="132">
          <cell r="B132">
            <v>536460</v>
          </cell>
          <cell r="C132" t="str">
            <v>53</v>
          </cell>
          <cell r="D132" t="str">
            <v>BĐTP Huế</v>
          </cell>
          <cell r="E132" t="str">
            <v>5364</v>
          </cell>
          <cell r="F132" t="str">
            <v>Bưu điện Phú Lộc</v>
          </cell>
          <cell r="G132" t="str">
            <v>5328</v>
          </cell>
          <cell r="H132" t="str">
            <v>Bưu điện xã Phú Lộc</v>
          </cell>
          <cell r="J132">
            <v>536460</v>
          </cell>
          <cell r="K132" t="str">
            <v>BCP Nam Đông (TD)</v>
          </cell>
          <cell r="L132" t="str">
            <v>PH2</v>
          </cell>
          <cell r="M132" t="str">
            <v>Khu Vực Ii</v>
          </cell>
          <cell r="N132">
            <v>1</v>
          </cell>
        </row>
        <row r="133">
          <cell r="B133">
            <v>537100</v>
          </cell>
          <cell r="C133" t="str">
            <v>53</v>
          </cell>
          <cell r="D133" t="str">
            <v>BĐTP Huế</v>
          </cell>
          <cell r="E133" t="str">
            <v>5371</v>
          </cell>
          <cell r="F133" t="str">
            <v>Bưu điện Phú Lộc</v>
          </cell>
          <cell r="G133" t="str">
            <v>5328</v>
          </cell>
          <cell r="H133" t="str">
            <v>Bưu điện xã Phú Lộc</v>
          </cell>
          <cell r="I133" t="str">
            <v>*</v>
          </cell>
          <cell r="J133">
            <v>537100</v>
          </cell>
          <cell r="K133" t="str">
            <v>Phú Lộc</v>
          </cell>
          <cell r="L133" t="str">
            <v>GD2</v>
          </cell>
          <cell r="M133" t="str">
            <v>118 Đường Lý Thánh Tông</v>
          </cell>
        </row>
        <row r="134">
          <cell r="B134">
            <v>537120</v>
          </cell>
          <cell r="C134" t="str">
            <v>53</v>
          </cell>
          <cell r="D134" t="str">
            <v>BĐTP Huế</v>
          </cell>
          <cell r="E134" t="str">
            <v>5371</v>
          </cell>
          <cell r="F134" t="str">
            <v>Bưu điện Phú Lộc</v>
          </cell>
          <cell r="G134" t="str">
            <v>5328</v>
          </cell>
          <cell r="H134" t="str">
            <v>Bưu điện xã Phú Lộc</v>
          </cell>
          <cell r="I134" t="str">
            <v>*</v>
          </cell>
          <cell r="J134">
            <v>537120</v>
          </cell>
          <cell r="K134" t="str">
            <v>Lộc Bình</v>
          </cell>
          <cell r="L134" t="str">
            <v>VHX</v>
          </cell>
          <cell r="M134" t="str">
            <v>Thôn Hòa An</v>
          </cell>
        </row>
        <row r="135">
          <cell r="B135">
            <v>537310</v>
          </cell>
          <cell r="C135" t="str">
            <v>53</v>
          </cell>
          <cell r="D135" t="str">
            <v>BĐTP Huế</v>
          </cell>
          <cell r="E135" t="str">
            <v>5371</v>
          </cell>
          <cell r="F135" t="str">
            <v>Bưu điện Phú Lộc</v>
          </cell>
          <cell r="G135" t="str">
            <v>5328</v>
          </cell>
          <cell r="H135" t="str">
            <v>Bưu điện xã Phú Lộc</v>
          </cell>
          <cell r="I135" t="str">
            <v>*</v>
          </cell>
          <cell r="J135">
            <v>537310</v>
          </cell>
          <cell r="K135" t="str">
            <v>Lộc Trì</v>
          </cell>
          <cell r="L135" t="str">
            <v>VHX</v>
          </cell>
          <cell r="M135" t="str">
            <v>Thôn Cao Đôi Xã</v>
          </cell>
        </row>
        <row r="136">
          <cell r="B136">
            <v>537423</v>
          </cell>
          <cell r="C136" t="str">
            <v>53</v>
          </cell>
          <cell r="D136" t="str">
            <v>BĐTP Huế</v>
          </cell>
          <cell r="E136" t="str">
            <v>5371</v>
          </cell>
          <cell r="F136" t="str">
            <v>Bưu điện Phú Lộc</v>
          </cell>
          <cell r="G136" t="str">
            <v>5328</v>
          </cell>
          <cell r="H136" t="str">
            <v>Bưu điện xã Phú Lộc</v>
          </cell>
          <cell r="I136" t="str">
            <v>*</v>
          </cell>
          <cell r="J136">
            <v>537423</v>
          </cell>
          <cell r="K136" t="str">
            <v>VP BĐH Phú Lộc</v>
          </cell>
          <cell r="L136" t="str">
            <v>VP</v>
          </cell>
          <cell r="M136" t="str">
            <v>118 Đường Lý Thánh Tông</v>
          </cell>
        </row>
        <row r="137">
          <cell r="B137">
            <v>537170</v>
          </cell>
          <cell r="C137" t="str">
            <v>53</v>
          </cell>
          <cell r="D137" t="str">
            <v>BĐTP Huế</v>
          </cell>
          <cell r="E137" t="str">
            <v>5371</v>
          </cell>
          <cell r="F137" t="str">
            <v>Bưu điện Phú Lộc</v>
          </cell>
          <cell r="G137" t="str">
            <v>5328</v>
          </cell>
          <cell r="H137" t="str">
            <v>Bưu điện xã Phú Lộc</v>
          </cell>
          <cell r="J137">
            <v>537170</v>
          </cell>
          <cell r="K137" t="str">
            <v>Vinh Giang (TD)</v>
          </cell>
          <cell r="L137" t="str">
            <v>DLY</v>
          </cell>
          <cell r="M137" t="str">
            <v>Thôn Nghi Giang</v>
          </cell>
          <cell r="N137">
            <v>1</v>
          </cell>
        </row>
        <row r="138">
          <cell r="B138">
            <v>537360</v>
          </cell>
          <cell r="C138" t="str">
            <v>53</v>
          </cell>
          <cell r="D138" t="str">
            <v>BĐTP Huế</v>
          </cell>
          <cell r="E138" t="str">
            <v>5371</v>
          </cell>
          <cell r="F138" t="str">
            <v>Bưu điện Phú Lộc</v>
          </cell>
          <cell r="G138" t="str">
            <v>5329</v>
          </cell>
          <cell r="H138" t="str">
            <v>Bưu điện xã Chân Mây - Lăng Cô</v>
          </cell>
          <cell r="I138" t="str">
            <v>5328</v>
          </cell>
          <cell r="J138">
            <v>537360</v>
          </cell>
          <cell r="K138" t="str">
            <v>Lăng Cô</v>
          </cell>
          <cell r="L138" t="str">
            <v>GD3</v>
          </cell>
          <cell r="M138" t="str">
            <v>Đường Lạc Long Quân</v>
          </cell>
        </row>
        <row r="139">
          <cell r="B139">
            <v>537130</v>
          </cell>
          <cell r="C139" t="str">
            <v>53</v>
          </cell>
          <cell r="D139" t="str">
            <v>BĐTP Huế</v>
          </cell>
          <cell r="E139" t="str">
            <v>5371</v>
          </cell>
          <cell r="F139" t="str">
            <v>Bưu điện Phú Lộc</v>
          </cell>
          <cell r="G139" t="str">
            <v>5329</v>
          </cell>
          <cell r="H139" t="str">
            <v>Bưu điện xã Chân Mây - Lăng Cô</v>
          </cell>
          <cell r="I139" t="str">
            <v>5328</v>
          </cell>
          <cell r="J139">
            <v>537130</v>
          </cell>
          <cell r="K139" t="str">
            <v>Lộc Vĩnh</v>
          </cell>
          <cell r="L139" t="str">
            <v>GD3</v>
          </cell>
          <cell r="M139" t="str">
            <v>Thôn Bình An 1</v>
          </cell>
        </row>
        <row r="140">
          <cell r="B140">
            <v>537340</v>
          </cell>
          <cell r="C140" t="str">
            <v>53</v>
          </cell>
          <cell r="D140" t="str">
            <v>BĐTP Huế</v>
          </cell>
          <cell r="E140" t="str">
            <v>5371</v>
          </cell>
          <cell r="F140" t="str">
            <v>Bưu điện Phú Lộc</v>
          </cell>
          <cell r="G140" t="str">
            <v>5329</v>
          </cell>
          <cell r="H140" t="str">
            <v>Bưu điện xã Chân Mây - Lăng Cô</v>
          </cell>
          <cell r="I140" t="str">
            <v>5328</v>
          </cell>
          <cell r="J140">
            <v>537340</v>
          </cell>
          <cell r="K140" t="str">
            <v>Thừa Lưu</v>
          </cell>
          <cell r="L140" t="str">
            <v>GD3</v>
          </cell>
          <cell r="M140" t="str">
            <v>Thôn Trung Kiền</v>
          </cell>
        </row>
        <row r="141">
          <cell r="B141">
            <v>537330</v>
          </cell>
          <cell r="C141" t="str">
            <v>53</v>
          </cell>
          <cell r="D141" t="str">
            <v>BĐTP Huế</v>
          </cell>
          <cell r="E141" t="str">
            <v>5371</v>
          </cell>
          <cell r="F141" t="str">
            <v>Bưu điện Phú Lộc</v>
          </cell>
          <cell r="G141" t="str">
            <v>5329</v>
          </cell>
          <cell r="H141" t="str">
            <v>Bưu điện xã Chân Mây - Lăng Cô</v>
          </cell>
          <cell r="I141" t="str">
            <v>5328</v>
          </cell>
          <cell r="J141">
            <v>537330</v>
          </cell>
          <cell r="K141" t="str">
            <v>Lộc Thủy</v>
          </cell>
          <cell r="L141" t="str">
            <v>VHX</v>
          </cell>
          <cell r="M141" t="str">
            <v>Thôn Phú Cường</v>
          </cell>
        </row>
        <row r="142">
          <cell r="B142">
            <v>536480</v>
          </cell>
          <cell r="C142" t="str">
            <v>53</v>
          </cell>
          <cell r="D142" t="str">
            <v>BĐTP Huế</v>
          </cell>
          <cell r="E142" t="str">
            <v>5364</v>
          </cell>
          <cell r="F142" t="str">
            <v>Bưu điện Phú Lộc</v>
          </cell>
          <cell r="G142" t="str">
            <v>5331</v>
          </cell>
          <cell r="H142" t="str">
            <v>Bưu điện xã Nam Đông</v>
          </cell>
          <cell r="I142" t="str">
            <v>5328</v>
          </cell>
          <cell r="J142">
            <v>536480</v>
          </cell>
          <cell r="K142" t="str">
            <v>Hương Hữu</v>
          </cell>
          <cell r="L142" t="str">
            <v>VHX</v>
          </cell>
          <cell r="M142" t="str">
            <v>Thôn 3</v>
          </cell>
        </row>
        <row r="143">
          <cell r="B143">
            <v>536520</v>
          </cell>
          <cell r="C143" t="str">
            <v>53</v>
          </cell>
          <cell r="D143" t="str">
            <v>BĐTP Huế</v>
          </cell>
          <cell r="E143" t="str">
            <v>5364</v>
          </cell>
          <cell r="F143" t="str">
            <v>Bưu điện Phú Lộc</v>
          </cell>
          <cell r="G143" t="str">
            <v>5331</v>
          </cell>
          <cell r="H143" t="str">
            <v>Bưu điện xã Nam Đông</v>
          </cell>
          <cell r="I143" t="str">
            <v>5328</v>
          </cell>
          <cell r="J143">
            <v>536520</v>
          </cell>
          <cell r="K143" t="str">
            <v>Thượng Long</v>
          </cell>
          <cell r="L143" t="str">
            <v>VHX</v>
          </cell>
          <cell r="M143" t="str">
            <v>Ấp , Đội 6</v>
          </cell>
        </row>
        <row r="144">
          <cell r="B144">
            <v>536500</v>
          </cell>
          <cell r="C144" t="str">
            <v>53</v>
          </cell>
          <cell r="D144" t="str">
            <v>BĐTP Huế</v>
          </cell>
          <cell r="E144" t="str">
            <v>5364</v>
          </cell>
          <cell r="F144" t="str">
            <v>Bưu điện Phú Lộc</v>
          </cell>
          <cell r="G144" t="str">
            <v>5331</v>
          </cell>
          <cell r="H144" t="str">
            <v>Bưu điện xã Nam Đông</v>
          </cell>
          <cell r="I144" t="str">
            <v>5328</v>
          </cell>
          <cell r="J144">
            <v>536500</v>
          </cell>
          <cell r="K144" t="str">
            <v>Thượng Quảng</v>
          </cell>
          <cell r="L144" t="str">
            <v>VHX</v>
          </cell>
          <cell r="M144" t="str">
            <v>Thôn 1</v>
          </cell>
        </row>
        <row r="145">
          <cell r="B145">
            <v>536470</v>
          </cell>
          <cell r="C145" t="str">
            <v>53</v>
          </cell>
          <cell r="D145" t="str">
            <v>BĐTP Huế</v>
          </cell>
          <cell r="E145" t="str">
            <v>5364</v>
          </cell>
          <cell r="F145" t="str">
            <v>Bưu điện Phú Lộc</v>
          </cell>
          <cell r="G145" t="str">
            <v>5331</v>
          </cell>
          <cell r="H145" t="str">
            <v>Bưu điện xã Nam Đông</v>
          </cell>
          <cell r="I145" t="str">
            <v>5328</v>
          </cell>
          <cell r="J145">
            <v>536470</v>
          </cell>
          <cell r="K145" t="str">
            <v>Hương Giang</v>
          </cell>
          <cell r="L145" t="str">
            <v>VHX</v>
          </cell>
          <cell r="M145" t="str">
            <v>Thôn Thuận Hòa</v>
          </cell>
        </row>
        <row r="146">
          <cell r="B146">
            <v>536450</v>
          </cell>
          <cell r="C146" t="str">
            <v>53</v>
          </cell>
          <cell r="D146" t="str">
            <v>BĐTP Huế</v>
          </cell>
          <cell r="E146" t="str">
            <v>5364</v>
          </cell>
          <cell r="F146" t="str">
            <v>Bưu điện Phú Lộc</v>
          </cell>
          <cell r="G146" t="str">
            <v>5331</v>
          </cell>
          <cell r="H146" t="str">
            <v>Bưu điện xã Nam Đông</v>
          </cell>
          <cell r="I146" t="str">
            <v>5328</v>
          </cell>
          <cell r="J146">
            <v>536450</v>
          </cell>
          <cell r="K146" t="str">
            <v>Hương Sơn</v>
          </cell>
          <cell r="L146" t="str">
            <v>VHX</v>
          </cell>
          <cell r="M146" t="str">
            <v>Thôn 3 (ka Chê)</v>
          </cell>
        </row>
        <row r="147">
          <cell r="B147">
            <v>536540</v>
          </cell>
          <cell r="C147" t="str">
            <v>53</v>
          </cell>
          <cell r="D147" t="str">
            <v>BĐTP Huế</v>
          </cell>
          <cell r="E147" t="str">
            <v>5364</v>
          </cell>
          <cell r="F147" t="str">
            <v>Bưu điện Phú Lộc</v>
          </cell>
          <cell r="G147" t="str">
            <v>5331</v>
          </cell>
          <cell r="H147" t="str">
            <v>Bưu điện xã Nam Đông</v>
          </cell>
          <cell r="I147" t="str">
            <v>5328</v>
          </cell>
          <cell r="J147">
            <v>536540</v>
          </cell>
          <cell r="K147" t="str">
            <v>Thượng Nhật</v>
          </cell>
          <cell r="L147" t="str">
            <v>VHX</v>
          </cell>
          <cell r="M147" t="str">
            <v>Thôn A Tin</v>
          </cell>
        </row>
        <row r="148">
          <cell r="B148">
            <v>536408</v>
          </cell>
          <cell r="C148" t="str">
            <v>53</v>
          </cell>
          <cell r="D148" t="str">
            <v>BĐTP Huế</v>
          </cell>
          <cell r="E148" t="str">
            <v>5364</v>
          </cell>
          <cell r="F148" t="str">
            <v>Bưu điện Phú Lộc</v>
          </cell>
          <cell r="G148" t="str">
            <v>5331</v>
          </cell>
          <cell r="H148" t="str">
            <v>Bưu điện xã Nam Đông</v>
          </cell>
          <cell r="I148" t="str">
            <v>5328</v>
          </cell>
          <cell r="J148">
            <v>536408</v>
          </cell>
          <cell r="K148" t="str">
            <v>VP BĐH Nam Đông</v>
          </cell>
          <cell r="L148" t="str">
            <v>VP</v>
          </cell>
          <cell r="M148" t="str">
            <v>192 Khu vực II</v>
          </cell>
        </row>
        <row r="149">
          <cell r="B149">
            <v>536400</v>
          </cell>
          <cell r="C149" t="str">
            <v>53</v>
          </cell>
          <cell r="D149" t="str">
            <v>BĐTP Huế</v>
          </cell>
          <cell r="E149" t="str">
            <v>5364</v>
          </cell>
          <cell r="F149" t="str">
            <v>Bưu điện Phú Lộc</v>
          </cell>
          <cell r="G149" t="str">
            <v>5332</v>
          </cell>
          <cell r="H149" t="str">
            <v>Bưu điện xã Khe Tre</v>
          </cell>
          <cell r="I149" t="str">
            <v>5328</v>
          </cell>
          <cell r="J149">
            <v>536400</v>
          </cell>
          <cell r="K149" t="str">
            <v>Nam Đông</v>
          </cell>
          <cell r="L149" t="str">
            <v>GD2</v>
          </cell>
          <cell r="M149" t="str">
            <v>Khu Vực Ii</v>
          </cell>
        </row>
        <row r="150">
          <cell r="B150">
            <v>536570</v>
          </cell>
          <cell r="C150" t="str">
            <v>53</v>
          </cell>
          <cell r="D150" t="str">
            <v>BĐTP Huế</v>
          </cell>
          <cell r="E150" t="str">
            <v>5364</v>
          </cell>
          <cell r="F150" t="str">
            <v>Bưu điện Phú Lộc</v>
          </cell>
          <cell r="G150" t="str">
            <v>5332</v>
          </cell>
          <cell r="H150" t="str">
            <v>Bưu điện xã Khe Tre</v>
          </cell>
          <cell r="I150" t="str">
            <v>5328</v>
          </cell>
          <cell r="J150">
            <v>536570</v>
          </cell>
          <cell r="K150" t="str">
            <v>Hương Lộc</v>
          </cell>
          <cell r="L150" t="str">
            <v>VHX</v>
          </cell>
          <cell r="M150" t="str">
            <v>Thôn 2</v>
          </cell>
        </row>
        <row r="151">
          <cell r="B151">
            <v>536420</v>
          </cell>
          <cell r="C151" t="str">
            <v>53</v>
          </cell>
          <cell r="D151" t="str">
            <v>BĐTP Huế</v>
          </cell>
          <cell r="E151" t="str">
            <v>5364</v>
          </cell>
          <cell r="F151" t="str">
            <v>Bưu điện Phú Lộc</v>
          </cell>
          <cell r="G151" t="str">
            <v>5332</v>
          </cell>
          <cell r="H151" t="str">
            <v>Bưu điện xã Khe Tre</v>
          </cell>
          <cell r="I151" t="str">
            <v>5328</v>
          </cell>
          <cell r="J151">
            <v>536420</v>
          </cell>
          <cell r="K151" t="str">
            <v>Hương Phú</v>
          </cell>
          <cell r="L151" t="str">
            <v>VHX</v>
          </cell>
          <cell r="M151" t="str">
            <v>Thôn Hà An</v>
          </cell>
        </row>
        <row r="152">
          <cell r="B152">
            <v>536560</v>
          </cell>
          <cell r="C152" t="str">
            <v>53</v>
          </cell>
          <cell r="D152" t="str">
            <v>BĐTP Huế</v>
          </cell>
          <cell r="E152" t="str">
            <v>5364</v>
          </cell>
          <cell r="F152" t="str">
            <v>Bưu điện Phú Lộc</v>
          </cell>
          <cell r="G152" t="str">
            <v>5332</v>
          </cell>
          <cell r="H152" t="str">
            <v>Bưu điện xã Khe Tre</v>
          </cell>
          <cell r="I152" t="str">
            <v>5328</v>
          </cell>
          <cell r="J152">
            <v>536560</v>
          </cell>
          <cell r="K152" t="str">
            <v>Thượng Lộ</v>
          </cell>
          <cell r="L152" t="str">
            <v>VHX</v>
          </cell>
          <cell r="M152" t="str">
            <v>Thôn La Hố</v>
          </cell>
        </row>
        <row r="153">
          <cell r="B153">
            <v>535390</v>
          </cell>
          <cell r="C153" t="str">
            <v>53</v>
          </cell>
          <cell r="D153" t="str">
            <v>BĐTP Huế</v>
          </cell>
          <cell r="E153" t="str">
            <v>5353</v>
          </cell>
          <cell r="F153" t="str">
            <v>BĐKV Hương Trà - Quảng Điền</v>
          </cell>
          <cell r="G153" t="str">
            <v>5333</v>
          </cell>
          <cell r="H153" t="str">
            <v>Bưu điện xã Bình Điền</v>
          </cell>
          <cell r="I153" t="str">
            <v>5341</v>
          </cell>
          <cell r="J153">
            <v>535390</v>
          </cell>
          <cell r="K153" t="str">
            <v>Bình Điền</v>
          </cell>
          <cell r="L153" t="str">
            <v>GD3</v>
          </cell>
          <cell r="M153" t="str">
            <v>Thôn Bình Lợi</v>
          </cell>
        </row>
        <row r="154">
          <cell r="B154">
            <v>535490</v>
          </cell>
          <cell r="C154" t="str">
            <v>53</v>
          </cell>
          <cell r="D154" t="str">
            <v>BĐTP Huế</v>
          </cell>
          <cell r="E154" t="str">
            <v>5353</v>
          </cell>
          <cell r="F154" t="str">
            <v>BĐKV Hương Trà - Quảng Điền</v>
          </cell>
          <cell r="G154" t="str">
            <v>5333</v>
          </cell>
          <cell r="H154" t="str">
            <v>Bưu điện xã Bình Điền</v>
          </cell>
          <cell r="I154" t="str">
            <v>5341</v>
          </cell>
          <cell r="J154">
            <v>535490</v>
          </cell>
          <cell r="K154" t="str">
            <v>Bình Thành</v>
          </cell>
          <cell r="L154" t="str">
            <v>VHX</v>
          </cell>
          <cell r="M154" t="str">
            <v>Thôn Tam Hiệp</v>
          </cell>
        </row>
        <row r="155">
          <cell r="B155">
            <v>535460</v>
          </cell>
          <cell r="C155" t="str">
            <v>53</v>
          </cell>
          <cell r="D155" t="str">
            <v>BĐTP Huế</v>
          </cell>
          <cell r="E155" t="str">
            <v>5353</v>
          </cell>
          <cell r="F155" t="str">
            <v>BĐKV Hương Trà - Quảng Điền</v>
          </cell>
          <cell r="G155" t="str">
            <v>5333</v>
          </cell>
          <cell r="H155" t="str">
            <v>Bưu điện xã Bình Điền</v>
          </cell>
          <cell r="I155" t="str">
            <v>5341</v>
          </cell>
          <cell r="J155">
            <v>535460</v>
          </cell>
          <cell r="K155" t="str">
            <v>Hương Bình</v>
          </cell>
          <cell r="L155" t="str">
            <v>VHX</v>
          </cell>
          <cell r="M155" t="str">
            <v>Thôn Hải Tân</v>
          </cell>
        </row>
        <row r="156">
          <cell r="B156">
            <v>535720</v>
          </cell>
          <cell r="C156" t="str">
            <v>53</v>
          </cell>
          <cell r="D156" t="str">
            <v>BĐTP Huế</v>
          </cell>
          <cell r="E156" t="str">
            <v>5357</v>
          </cell>
          <cell r="F156" t="str">
            <v>Bưu điện A Lưới</v>
          </cell>
          <cell r="G156" t="str">
            <v>5335</v>
          </cell>
          <cell r="H156" t="str">
            <v>Bưu điện xã A Lưới 2</v>
          </cell>
          <cell r="I156" t="str">
            <v>*</v>
          </cell>
          <cell r="J156">
            <v>535720</v>
          </cell>
          <cell r="K156" t="str">
            <v>Hồng Kim</v>
          </cell>
          <cell r="L156" t="str">
            <v>VHX</v>
          </cell>
          <cell r="M156" t="str">
            <v>Thôn 5</v>
          </cell>
        </row>
        <row r="157">
          <cell r="B157">
            <v>535990</v>
          </cell>
          <cell r="C157" t="str">
            <v>53</v>
          </cell>
          <cell r="D157" t="str">
            <v>BĐTP Huế</v>
          </cell>
          <cell r="E157" t="str">
            <v>5357</v>
          </cell>
          <cell r="F157" t="str">
            <v>Bưu điện A Lưới</v>
          </cell>
          <cell r="G157" t="str">
            <v>5335</v>
          </cell>
          <cell r="H157" t="str">
            <v>Bưu điện xã A Lưới 2</v>
          </cell>
          <cell r="I157" t="str">
            <v>*</v>
          </cell>
          <cell r="J157">
            <v>535990</v>
          </cell>
          <cell r="K157" t="str">
            <v>Hồng Thủy</v>
          </cell>
          <cell r="L157" t="str">
            <v>VHX</v>
          </cell>
          <cell r="M157" t="str">
            <v>Thôn 2</v>
          </cell>
        </row>
        <row r="158">
          <cell r="B158">
            <v>535740</v>
          </cell>
          <cell r="C158" t="str">
            <v>53</v>
          </cell>
          <cell r="D158" t="str">
            <v>BĐTP Huế</v>
          </cell>
          <cell r="E158" t="str">
            <v>5357</v>
          </cell>
          <cell r="F158" t="str">
            <v>Bưu điện A Lưới</v>
          </cell>
          <cell r="G158" t="str">
            <v>5335</v>
          </cell>
          <cell r="H158" t="str">
            <v>Bưu điện xã A Lưới 2</v>
          </cell>
          <cell r="I158" t="str">
            <v>*</v>
          </cell>
          <cell r="J158">
            <v>535740</v>
          </cell>
          <cell r="K158" t="str">
            <v>Hồng Trung</v>
          </cell>
          <cell r="L158" t="str">
            <v>VHX</v>
          </cell>
          <cell r="M158" t="str">
            <v>Thôn 1</v>
          </cell>
        </row>
        <row r="159">
          <cell r="B159">
            <v>535750</v>
          </cell>
          <cell r="C159" t="str">
            <v>53</v>
          </cell>
          <cell r="D159" t="str">
            <v>BĐTP Huế</v>
          </cell>
          <cell r="E159" t="str">
            <v>5357</v>
          </cell>
          <cell r="F159" t="str">
            <v>Bưu điện A Lưới</v>
          </cell>
          <cell r="G159" t="str">
            <v>5335</v>
          </cell>
          <cell r="H159" t="str">
            <v>Bưu điện xã A Lưới 2</v>
          </cell>
          <cell r="I159" t="str">
            <v>*</v>
          </cell>
          <cell r="J159">
            <v>535750</v>
          </cell>
          <cell r="K159" t="str">
            <v>Hồng Vân</v>
          </cell>
          <cell r="L159" t="str">
            <v>VHX</v>
          </cell>
          <cell r="M159" t="str">
            <v>Thôn A Năm</v>
          </cell>
        </row>
        <row r="160">
          <cell r="B160">
            <v>535700</v>
          </cell>
          <cell r="C160" t="str">
            <v>53</v>
          </cell>
          <cell r="D160" t="str">
            <v>BĐTP Huế</v>
          </cell>
          <cell r="E160" t="str">
            <v>5357</v>
          </cell>
          <cell r="F160" t="str">
            <v>Bưu điện A Lưới</v>
          </cell>
          <cell r="G160" t="str">
            <v>5335</v>
          </cell>
          <cell r="H160" t="str">
            <v>Bưu điện xã A Lưới 2</v>
          </cell>
          <cell r="I160" t="str">
            <v>*</v>
          </cell>
          <cell r="J160">
            <v>535700</v>
          </cell>
          <cell r="K160" t="str">
            <v>A Lưới</v>
          </cell>
          <cell r="L160" t="str">
            <v>GD2</v>
          </cell>
          <cell r="M160" t="str">
            <v>184 Đường Hồ Chí Minh</v>
          </cell>
        </row>
        <row r="161">
          <cell r="B161">
            <v>535870</v>
          </cell>
          <cell r="C161" t="str">
            <v>53</v>
          </cell>
          <cell r="D161" t="str">
            <v>BĐTP Huế</v>
          </cell>
          <cell r="E161" t="str">
            <v>5357</v>
          </cell>
          <cell r="F161" t="str">
            <v>Bưu điện A Lưới</v>
          </cell>
          <cell r="G161" t="str">
            <v>5335</v>
          </cell>
          <cell r="H161" t="str">
            <v>Bưu điện xã A Lưới 2</v>
          </cell>
          <cell r="I161" t="str">
            <v>*</v>
          </cell>
          <cell r="J161">
            <v>535870</v>
          </cell>
          <cell r="K161" t="str">
            <v>A Ngo</v>
          </cell>
          <cell r="L161" t="str">
            <v>VHX</v>
          </cell>
          <cell r="M161" t="str">
            <v>Thôn Quảng Mai</v>
          </cell>
        </row>
        <row r="162">
          <cell r="B162">
            <v>535760</v>
          </cell>
          <cell r="C162" t="str">
            <v>53</v>
          </cell>
          <cell r="D162" t="str">
            <v>BĐTP Huế</v>
          </cell>
          <cell r="E162" t="str">
            <v>5357</v>
          </cell>
          <cell r="F162" t="str">
            <v>Bưu điện A Lưới</v>
          </cell>
          <cell r="G162" t="str">
            <v>5335</v>
          </cell>
          <cell r="H162" t="str">
            <v>Bưu điện xã A Lưới 2</v>
          </cell>
          <cell r="I162" t="str">
            <v>*</v>
          </cell>
          <cell r="J162">
            <v>535760</v>
          </cell>
          <cell r="K162" t="str">
            <v>Hồng Bắc</v>
          </cell>
          <cell r="L162" t="str">
            <v>VHX</v>
          </cell>
          <cell r="M162" t="str">
            <v>Thôn A Ninh</v>
          </cell>
        </row>
        <row r="163">
          <cell r="B163">
            <v>535780</v>
          </cell>
          <cell r="C163" t="str">
            <v>53</v>
          </cell>
          <cell r="D163" t="str">
            <v>BĐTP Huế</v>
          </cell>
          <cell r="E163" t="str">
            <v>5357</v>
          </cell>
          <cell r="F163" t="str">
            <v>Bưu điện A Lưới</v>
          </cell>
          <cell r="G163" t="str">
            <v>5335</v>
          </cell>
          <cell r="H163" t="str">
            <v>Bưu điện xã A Lưới 2</v>
          </cell>
          <cell r="I163" t="str">
            <v>*</v>
          </cell>
          <cell r="J163">
            <v>535780</v>
          </cell>
          <cell r="K163" t="str">
            <v>Nhâm</v>
          </cell>
          <cell r="L163" t="str">
            <v>VHX</v>
          </cell>
          <cell r="M163" t="str">
            <v>Thôn 1</v>
          </cell>
        </row>
        <row r="164">
          <cell r="B164">
            <v>535712</v>
          </cell>
          <cell r="C164" t="str">
            <v>53</v>
          </cell>
          <cell r="D164" t="str">
            <v>BĐTP Huế</v>
          </cell>
          <cell r="E164" t="str">
            <v>5357</v>
          </cell>
          <cell r="F164" t="str">
            <v>Bưu điện A Lưới</v>
          </cell>
          <cell r="G164" t="str">
            <v>5335</v>
          </cell>
          <cell r="H164" t="str">
            <v>Bưu điện xã A Lưới 2</v>
          </cell>
          <cell r="I164" t="str">
            <v>*</v>
          </cell>
          <cell r="J164">
            <v>535712</v>
          </cell>
          <cell r="K164" t="str">
            <v>VP BĐH A Lưới</v>
          </cell>
          <cell r="L164" t="str">
            <v>VP</v>
          </cell>
          <cell r="M164" t="str">
            <v>184 Đường Hồ Chí Minh</v>
          </cell>
        </row>
        <row r="165">
          <cell r="B165">
            <v>535910</v>
          </cell>
          <cell r="C165" t="str">
            <v>53</v>
          </cell>
          <cell r="D165" t="str">
            <v>BĐTP Huế</v>
          </cell>
          <cell r="E165" t="str">
            <v>5357</v>
          </cell>
          <cell r="F165" t="str">
            <v>Bưu điện A Lưới</v>
          </cell>
          <cell r="G165" t="str">
            <v>5336</v>
          </cell>
          <cell r="H165" t="str">
            <v>Bưu điện xã A Lưới 3</v>
          </cell>
          <cell r="I165">
            <v>5335</v>
          </cell>
          <cell r="J165">
            <v>535910</v>
          </cell>
          <cell r="K165" t="str">
            <v>Bốt Đỏ</v>
          </cell>
          <cell r="L165" t="str">
            <v>GD3</v>
          </cell>
          <cell r="M165" t="str">
            <v>Thôn Quảng Hợp</v>
          </cell>
        </row>
        <row r="166">
          <cell r="B166">
            <v>535800</v>
          </cell>
          <cell r="C166" t="str">
            <v>53</v>
          </cell>
          <cell r="D166" t="str">
            <v>BĐTP Huế</v>
          </cell>
          <cell r="E166" t="str">
            <v>5357</v>
          </cell>
          <cell r="F166" t="str">
            <v>Bưu điện A Lưới</v>
          </cell>
          <cell r="G166" t="str">
            <v>5336</v>
          </cell>
          <cell r="H166" t="str">
            <v>Bưu điện xã A Lưới 3</v>
          </cell>
          <cell r="I166">
            <v>5335</v>
          </cell>
          <cell r="J166">
            <v>535800</v>
          </cell>
          <cell r="K166" t="str">
            <v>Hồng Thái</v>
          </cell>
          <cell r="L166" t="str">
            <v>VHX</v>
          </cell>
          <cell r="M166" t="str">
            <v>Thôn A Vinh</v>
          </cell>
        </row>
        <row r="167">
          <cell r="B167">
            <v>535820</v>
          </cell>
          <cell r="C167" t="str">
            <v>53</v>
          </cell>
          <cell r="D167" t="str">
            <v>BĐTP Huế</v>
          </cell>
          <cell r="E167" t="str">
            <v>5357</v>
          </cell>
          <cell r="F167" t="str">
            <v>Bưu điện A Lưới</v>
          </cell>
          <cell r="G167" t="str">
            <v>5336</v>
          </cell>
          <cell r="H167" t="str">
            <v>Bưu điện xã A Lưới 3</v>
          </cell>
          <cell r="I167">
            <v>5335</v>
          </cell>
          <cell r="J167">
            <v>535820</v>
          </cell>
          <cell r="K167" t="str">
            <v>Hồng Thượng</v>
          </cell>
          <cell r="L167" t="str">
            <v>VHX</v>
          </cell>
          <cell r="M167" t="str">
            <v>Thôn Hợp Thượng</v>
          </cell>
        </row>
        <row r="168">
          <cell r="B168">
            <v>535911</v>
          </cell>
          <cell r="C168" t="str">
            <v>53</v>
          </cell>
          <cell r="D168" t="str">
            <v>BĐTP Huế</v>
          </cell>
          <cell r="E168" t="str">
            <v>5357</v>
          </cell>
          <cell r="F168" t="str">
            <v>Bưu điện A Lưới</v>
          </cell>
          <cell r="G168" t="str">
            <v>5336</v>
          </cell>
          <cell r="H168" t="str">
            <v>Bưu điện xã A Lưới 3</v>
          </cell>
          <cell r="I168">
            <v>5335</v>
          </cell>
          <cell r="J168">
            <v>535911</v>
          </cell>
          <cell r="K168" t="str">
            <v>Phú Vinh</v>
          </cell>
          <cell r="L168" t="str">
            <v>VHX</v>
          </cell>
          <cell r="M168" t="str">
            <v>Thôn Phú Thuận</v>
          </cell>
        </row>
        <row r="169">
          <cell r="B169">
            <v>535890</v>
          </cell>
          <cell r="C169" t="str">
            <v>53</v>
          </cell>
          <cell r="D169" t="str">
            <v>BĐTP Huế</v>
          </cell>
          <cell r="E169" t="str">
            <v>5357</v>
          </cell>
          <cell r="F169" t="str">
            <v>Bưu điện A Lưới</v>
          </cell>
          <cell r="G169" t="str">
            <v>5336</v>
          </cell>
          <cell r="H169" t="str">
            <v>Bưu điện xã A Lưới 3</v>
          </cell>
          <cell r="I169">
            <v>5335</v>
          </cell>
          <cell r="J169">
            <v>535890</v>
          </cell>
          <cell r="K169" t="str">
            <v>Sơn Thủy</v>
          </cell>
          <cell r="L169" t="str">
            <v>VHX</v>
          </cell>
          <cell r="M169" t="str">
            <v>Thôn Quảng Thọ</v>
          </cell>
        </row>
        <row r="170">
          <cell r="B170">
            <v>535950</v>
          </cell>
          <cell r="C170" t="str">
            <v>53</v>
          </cell>
          <cell r="D170" t="str">
            <v>BĐTP Huế</v>
          </cell>
          <cell r="E170" t="str">
            <v>5357</v>
          </cell>
          <cell r="F170" t="str">
            <v>Bưu điện A Lưới</v>
          </cell>
          <cell r="G170" t="str">
            <v>5336</v>
          </cell>
          <cell r="H170" t="str">
            <v>Bưu điện xã A Lưới 3</v>
          </cell>
          <cell r="I170">
            <v>5335</v>
          </cell>
          <cell r="J170">
            <v>535950</v>
          </cell>
          <cell r="K170" t="str">
            <v>A Roàng</v>
          </cell>
          <cell r="L170" t="str">
            <v>VHX</v>
          </cell>
          <cell r="M170" t="str">
            <v>Thôn A Roàng 1</v>
          </cell>
        </row>
        <row r="171">
          <cell r="B171">
            <v>535840</v>
          </cell>
          <cell r="C171" t="str">
            <v>53</v>
          </cell>
          <cell r="D171" t="str">
            <v>BĐTP Huế</v>
          </cell>
          <cell r="E171" t="str">
            <v>5357</v>
          </cell>
          <cell r="F171" t="str">
            <v>Bưu điện A Lưới</v>
          </cell>
          <cell r="G171" t="str">
            <v>5336</v>
          </cell>
          <cell r="H171" t="str">
            <v>Bưu điện xã A Lưới 3</v>
          </cell>
          <cell r="I171">
            <v>5335</v>
          </cell>
          <cell r="J171">
            <v>535840</v>
          </cell>
          <cell r="K171" t="str">
            <v>Đông Sơn</v>
          </cell>
          <cell r="L171" t="str">
            <v>VHX</v>
          </cell>
          <cell r="M171" t="str">
            <v>Thôn Loa</v>
          </cell>
        </row>
        <row r="172">
          <cell r="B172">
            <v>535930</v>
          </cell>
          <cell r="C172" t="str">
            <v>53</v>
          </cell>
          <cell r="D172" t="str">
            <v>BĐTP Huế</v>
          </cell>
          <cell r="E172" t="str">
            <v>5357</v>
          </cell>
          <cell r="F172" t="str">
            <v>Bưu điện A Lưới</v>
          </cell>
          <cell r="G172" t="str">
            <v>5336</v>
          </cell>
          <cell r="H172" t="str">
            <v>Bưu điện xã A Lưới 3</v>
          </cell>
          <cell r="I172">
            <v>5335</v>
          </cell>
          <cell r="J172">
            <v>535930</v>
          </cell>
          <cell r="K172" t="str">
            <v>Hương Lâm</v>
          </cell>
          <cell r="L172" t="str">
            <v>VHX</v>
          </cell>
          <cell r="M172" t="str">
            <v>Thôn A Đớt</v>
          </cell>
        </row>
        <row r="173">
          <cell r="B173">
            <v>535920</v>
          </cell>
          <cell r="C173" t="str">
            <v>53</v>
          </cell>
          <cell r="D173" t="str">
            <v>BĐTP Huế</v>
          </cell>
          <cell r="E173" t="str">
            <v>5357</v>
          </cell>
          <cell r="F173" t="str">
            <v>Bưu điện A Lưới</v>
          </cell>
          <cell r="G173" t="str">
            <v>5336</v>
          </cell>
          <cell r="H173" t="str">
            <v>Bưu điện xã A Lưới 3</v>
          </cell>
          <cell r="I173">
            <v>5335</v>
          </cell>
          <cell r="J173">
            <v>535920</v>
          </cell>
          <cell r="K173" t="str">
            <v>Hương Phong</v>
          </cell>
          <cell r="L173" t="str">
            <v>VHX</v>
          </cell>
          <cell r="M173" t="str">
            <v>Thôn Hương Phú</v>
          </cell>
        </row>
        <row r="174">
          <cell r="B174">
            <v>535970</v>
          </cell>
          <cell r="C174" t="str">
            <v>53</v>
          </cell>
          <cell r="D174" t="str">
            <v>BĐTP Huế</v>
          </cell>
          <cell r="E174" t="str">
            <v>5357</v>
          </cell>
          <cell r="F174" t="str">
            <v>Bưu điện A Lưới</v>
          </cell>
          <cell r="G174" t="str">
            <v>5336</v>
          </cell>
          <cell r="H174" t="str">
            <v>Bưu điện xã A Lưới 3</v>
          </cell>
          <cell r="I174">
            <v>5335</v>
          </cell>
          <cell r="J174">
            <v>535970</v>
          </cell>
          <cell r="K174" t="str">
            <v>Hồng Hạ</v>
          </cell>
          <cell r="L174" t="str">
            <v>VHX</v>
          </cell>
          <cell r="M174" t="str">
            <v>Thôn Pa Ring</v>
          </cell>
        </row>
        <row r="175">
          <cell r="B175">
            <v>535980</v>
          </cell>
          <cell r="C175" t="str">
            <v>53</v>
          </cell>
          <cell r="D175" t="str">
            <v>BĐTP Huế</v>
          </cell>
          <cell r="E175" t="str">
            <v>5357</v>
          </cell>
          <cell r="F175" t="str">
            <v>Bưu điện A Lưới</v>
          </cell>
          <cell r="G175" t="str">
            <v>5336</v>
          </cell>
          <cell r="H175" t="str">
            <v>Bưu điện xã A Lưới 3</v>
          </cell>
          <cell r="I175">
            <v>5335</v>
          </cell>
          <cell r="J175">
            <v>535980</v>
          </cell>
          <cell r="K175" t="str">
            <v>Hương Nguyên</v>
          </cell>
          <cell r="L175" t="str">
            <v>VHX</v>
          </cell>
          <cell r="M175" t="str">
            <v>Thôn Nghĩa</v>
          </cell>
        </row>
        <row r="176">
          <cell r="B176">
            <v>536701</v>
          </cell>
          <cell r="C176" t="str">
            <v>53</v>
          </cell>
          <cell r="D176" t="str">
            <v>BĐTP Huế</v>
          </cell>
          <cell r="E176" t="str">
            <v>5310</v>
          </cell>
          <cell r="F176" t="str">
            <v>Bưu điện Huế</v>
          </cell>
          <cell r="G176" t="str">
            <v>5339</v>
          </cell>
          <cell r="H176" t="str">
            <v>Bưu điện phường Dương Nỗ</v>
          </cell>
          <cell r="I176" t="str">
            <v>5304</v>
          </cell>
          <cell r="J176">
            <v>536701</v>
          </cell>
          <cell r="K176" t="str">
            <v>Phú Dương</v>
          </cell>
          <cell r="L176" t="str">
            <v>VHX</v>
          </cell>
          <cell r="M176" t="str">
            <v>Thôn Dương Nổ Tây</v>
          </cell>
        </row>
        <row r="177">
          <cell r="B177">
            <v>536790</v>
          </cell>
          <cell r="C177" t="str">
            <v>53</v>
          </cell>
          <cell r="D177" t="str">
            <v>BĐTP Huế</v>
          </cell>
          <cell r="E177" t="str">
            <v>5310</v>
          </cell>
          <cell r="F177" t="str">
            <v>Bưu điện Huế</v>
          </cell>
          <cell r="G177" t="str">
            <v>5339</v>
          </cell>
          <cell r="H177" t="str">
            <v>Bưu điện phường Dương Nỗ</v>
          </cell>
          <cell r="I177" t="str">
            <v>5304</v>
          </cell>
          <cell r="J177">
            <v>536790</v>
          </cell>
          <cell r="K177" t="str">
            <v>Phú Mậu</v>
          </cell>
          <cell r="L177" t="str">
            <v>VHX</v>
          </cell>
          <cell r="M177" t="str">
            <v>Thôn Mậu Tài</v>
          </cell>
        </row>
        <row r="178">
          <cell r="B178">
            <v>536780</v>
          </cell>
          <cell r="C178" t="str">
            <v>53</v>
          </cell>
          <cell r="D178" t="str">
            <v>BĐTP Huế</v>
          </cell>
          <cell r="E178" t="str">
            <v>5310</v>
          </cell>
          <cell r="F178" t="str">
            <v>Bưu điện Huế</v>
          </cell>
          <cell r="G178" t="str">
            <v>5339</v>
          </cell>
          <cell r="H178" t="str">
            <v>Bưu điện phường Dương Nỗ</v>
          </cell>
          <cell r="I178" t="str">
            <v>5304</v>
          </cell>
          <cell r="J178">
            <v>536780</v>
          </cell>
          <cell r="K178" t="str">
            <v>Phú Thanh</v>
          </cell>
          <cell r="L178" t="str">
            <v>VHX</v>
          </cell>
          <cell r="M178" t="str">
            <v>Thôn Quy Lai</v>
          </cell>
        </row>
        <row r="179">
          <cell r="B179">
            <v>531950</v>
          </cell>
          <cell r="C179" t="str">
            <v>53</v>
          </cell>
          <cell r="D179" t="str">
            <v>BĐTP Huế</v>
          </cell>
          <cell r="E179" t="str">
            <v>5310</v>
          </cell>
          <cell r="F179" t="str">
            <v>Bưu điện Huế</v>
          </cell>
          <cell r="G179" t="str">
            <v>5340</v>
          </cell>
          <cell r="H179" t="str">
            <v>Bưu điện phường Phú Xuân</v>
          </cell>
          <cell r="I179" t="str">
            <v>5304</v>
          </cell>
          <cell r="J179">
            <v>531950</v>
          </cell>
          <cell r="K179" t="str">
            <v>Huế Thành</v>
          </cell>
          <cell r="L179" t="str">
            <v>GD3</v>
          </cell>
          <cell r="M179" t="str">
            <v>25 Đường Mai Thúc Loan</v>
          </cell>
        </row>
        <row r="180">
          <cell r="B180">
            <v>532350</v>
          </cell>
          <cell r="C180" t="str">
            <v>53</v>
          </cell>
          <cell r="D180" t="str">
            <v>BĐTP Huế</v>
          </cell>
          <cell r="E180" t="str">
            <v>5310</v>
          </cell>
          <cell r="F180" t="str">
            <v>Bưu điện Huế</v>
          </cell>
          <cell r="G180" t="str">
            <v>5340</v>
          </cell>
          <cell r="H180" t="str">
            <v>Bưu điện phường Phú Xuân</v>
          </cell>
          <cell r="I180" t="str">
            <v>5304</v>
          </cell>
          <cell r="J180">
            <v>532350</v>
          </cell>
          <cell r="K180" t="str">
            <v>Tây Lộc</v>
          </cell>
          <cell r="L180" t="str">
            <v>GD3</v>
          </cell>
          <cell r="M180" t="str">
            <v>136 Đường Hoàng Diệu</v>
          </cell>
        </row>
        <row r="181">
          <cell r="B181">
            <v>531600</v>
          </cell>
          <cell r="C181" t="str">
            <v>53</v>
          </cell>
          <cell r="D181" t="str">
            <v>BĐTP Huế</v>
          </cell>
          <cell r="E181" t="str">
            <v>5310</v>
          </cell>
          <cell r="F181" t="str">
            <v>Bưu điện Huế</v>
          </cell>
          <cell r="G181" t="str">
            <v>5340</v>
          </cell>
          <cell r="H181" t="str">
            <v>Bưu điện phường Phú Xuân</v>
          </cell>
          <cell r="I181" t="str">
            <v>5304</v>
          </cell>
          <cell r="J181">
            <v>531600</v>
          </cell>
          <cell r="K181" t="str">
            <v>Trần Hưng Đạo</v>
          </cell>
          <cell r="L181" t="str">
            <v>GD3</v>
          </cell>
          <cell r="M181" t="str">
            <v>91 Đường Trần Hưng Đạo</v>
          </cell>
        </row>
        <row r="182">
          <cell r="B182">
            <v>535300</v>
          </cell>
          <cell r="C182" t="str">
            <v>53</v>
          </cell>
          <cell r="D182" t="str">
            <v>BĐTP Huế</v>
          </cell>
          <cell r="E182" t="str">
            <v>5353</v>
          </cell>
          <cell r="F182" t="str">
            <v>BĐKV Hương Trà - Quảng Điền</v>
          </cell>
          <cell r="G182" t="str">
            <v>5341</v>
          </cell>
          <cell r="H182" t="str">
            <v>Bưu điện phường Hương Trà</v>
          </cell>
          <cell r="I182" t="str">
            <v>*</v>
          </cell>
          <cell r="J182">
            <v>535300</v>
          </cell>
          <cell r="K182" t="str">
            <v>Hương Trà</v>
          </cell>
          <cell r="L182" t="str">
            <v>GD2</v>
          </cell>
          <cell r="M182" t="str">
            <v>105 Đường Cách Mạng Tháng Tám</v>
          </cell>
        </row>
        <row r="183">
          <cell r="B183">
            <v>535380</v>
          </cell>
          <cell r="C183" t="str">
            <v>53</v>
          </cell>
          <cell r="D183" t="str">
            <v>BĐTP Huế</v>
          </cell>
          <cell r="E183" t="str">
            <v>5353</v>
          </cell>
          <cell r="F183" t="str">
            <v>BĐKV Hương Trà - Quảng Điền</v>
          </cell>
          <cell r="G183" t="str">
            <v>5341</v>
          </cell>
          <cell r="H183" t="str">
            <v>Bưu điện phường Hương Trà</v>
          </cell>
          <cell r="I183" t="str">
            <v>*</v>
          </cell>
          <cell r="J183">
            <v>535380</v>
          </cell>
          <cell r="K183" t="str">
            <v>Hương Vân</v>
          </cell>
          <cell r="L183" t="str">
            <v>VHX</v>
          </cell>
          <cell r="M183" t="str">
            <v>Thôn Lại Bằng</v>
          </cell>
        </row>
        <row r="184">
          <cell r="B184">
            <v>535410</v>
          </cell>
          <cell r="C184" t="str">
            <v>53</v>
          </cell>
          <cell r="D184" t="str">
            <v>BĐTP Huế</v>
          </cell>
          <cell r="E184" t="str">
            <v>5353</v>
          </cell>
          <cell r="F184" t="str">
            <v>BĐKV Hương Trà - Quảng Điền</v>
          </cell>
          <cell r="G184" t="str">
            <v>5341</v>
          </cell>
          <cell r="H184" t="str">
            <v>Bưu điện phường Hương Trà</v>
          </cell>
          <cell r="I184" t="str">
            <v>*</v>
          </cell>
          <cell r="J184">
            <v>535410</v>
          </cell>
          <cell r="K184" t="str">
            <v>Hương Văn</v>
          </cell>
          <cell r="L184" t="str">
            <v>VHX</v>
          </cell>
          <cell r="M184" t="str">
            <v>Đội 8 - Văn xá Tây</v>
          </cell>
        </row>
        <row r="185">
          <cell r="B185">
            <v>535319</v>
          </cell>
          <cell r="C185" t="str">
            <v>53</v>
          </cell>
          <cell r="D185" t="str">
            <v>BĐTP Huế</v>
          </cell>
          <cell r="E185" t="str">
            <v>5353</v>
          </cell>
          <cell r="F185" t="str">
            <v>BĐKV Hương Trà - Quảng Điền</v>
          </cell>
          <cell r="G185" t="str">
            <v>5341</v>
          </cell>
          <cell r="H185" t="str">
            <v>Bưu điện phường Hương Trà</v>
          </cell>
          <cell r="I185" t="str">
            <v>*</v>
          </cell>
          <cell r="J185">
            <v>535319</v>
          </cell>
          <cell r="K185" t="str">
            <v>VP BĐH Hương Trà</v>
          </cell>
          <cell r="L185" t="str">
            <v>VP</v>
          </cell>
          <cell r="M185" t="str">
            <v>105 Đường Cách Mạng Tháng Tám</v>
          </cell>
        </row>
        <row r="186">
          <cell r="B186">
            <v>535511</v>
          </cell>
          <cell r="C186" t="str">
            <v>53</v>
          </cell>
          <cell r="D186" t="str">
            <v>BĐTP Huế</v>
          </cell>
          <cell r="E186" t="str">
            <v>5353</v>
          </cell>
          <cell r="F186" t="str">
            <v>BĐKV Hương Trà - Quảng Điền</v>
          </cell>
          <cell r="G186" t="str">
            <v>5342</v>
          </cell>
          <cell r="H186" t="str">
            <v>Bưu điện phường Kim Trà</v>
          </cell>
          <cell r="I186" t="str">
            <v>5341</v>
          </cell>
          <cell r="J186">
            <v>535511</v>
          </cell>
          <cell r="K186" t="str">
            <v>Hương Chữ</v>
          </cell>
          <cell r="L186" t="str">
            <v>VHX</v>
          </cell>
          <cell r="M186" t="str">
            <v>Thôn La Chữ</v>
          </cell>
        </row>
        <row r="187">
          <cell r="B187">
            <v>535320</v>
          </cell>
          <cell r="C187" t="str">
            <v>53</v>
          </cell>
          <cell r="D187" t="str">
            <v>BĐTP Huế</v>
          </cell>
          <cell r="E187" t="str">
            <v>5353</v>
          </cell>
          <cell r="F187" t="str">
            <v>BĐKV Hương Trà - Quảng Điền</v>
          </cell>
          <cell r="G187" t="str">
            <v>5342</v>
          </cell>
          <cell r="H187" t="str">
            <v>Bưu điện phường Kim Trà</v>
          </cell>
          <cell r="I187" t="str">
            <v>5341</v>
          </cell>
          <cell r="J187">
            <v>535320</v>
          </cell>
          <cell r="K187" t="str">
            <v>Hương Toàn</v>
          </cell>
          <cell r="L187" t="str">
            <v>VHX</v>
          </cell>
          <cell r="M187" t="str">
            <v>Thôn Giáp Tây</v>
          </cell>
        </row>
        <row r="188">
          <cell r="B188">
            <v>535440</v>
          </cell>
          <cell r="C188" t="str">
            <v>53</v>
          </cell>
          <cell r="D188" t="str">
            <v>BĐTP Huế</v>
          </cell>
          <cell r="E188" t="str">
            <v>5353</v>
          </cell>
          <cell r="F188" t="str">
            <v>BĐKV Hương Trà - Quảng Điền</v>
          </cell>
          <cell r="G188" t="str">
            <v>5342</v>
          </cell>
          <cell r="H188" t="str">
            <v>Bưu điện phường Kim Trà</v>
          </cell>
          <cell r="I188" t="str">
            <v>5341</v>
          </cell>
          <cell r="J188">
            <v>535440</v>
          </cell>
          <cell r="K188" t="str">
            <v>Hương Xuân</v>
          </cell>
          <cell r="L188" t="str">
            <v>VHX</v>
          </cell>
          <cell r="M188" t="str">
            <v>Thôn Thanh Lương I</v>
          </cell>
        </row>
        <row r="189">
          <cell r="B189">
            <v>535510</v>
          </cell>
          <cell r="C189" t="str">
            <v>53</v>
          </cell>
          <cell r="D189" t="str">
            <v>BĐTP Huế</v>
          </cell>
          <cell r="E189" t="str">
            <v>5353</v>
          </cell>
          <cell r="F189" t="str">
            <v>BĐKV Hương Trà - Quảng Điền</v>
          </cell>
          <cell r="J189">
            <v>535510</v>
          </cell>
          <cell r="K189" t="str">
            <v>Hương Chữ (TD)</v>
          </cell>
          <cell r="L189" t="str">
            <v>GD3</v>
          </cell>
          <cell r="M189" t="str">
            <v>Thôn Quế Chữ</v>
          </cell>
          <cell r="N189">
            <v>1</v>
          </cell>
        </row>
        <row r="190">
          <cell r="B190">
            <v>535730</v>
          </cell>
          <cell r="C190" t="str">
            <v>53</v>
          </cell>
          <cell r="D190" t="str">
            <v>BĐTP Huế</v>
          </cell>
          <cell r="E190" t="str">
            <v>5357</v>
          </cell>
          <cell r="F190" t="str">
            <v>Bưu điện A Lưới</v>
          </cell>
          <cell r="J190">
            <v>535730</v>
          </cell>
          <cell r="K190" t="str">
            <v>Bắc Sơn (TD)</v>
          </cell>
          <cell r="L190" t="str">
            <v>VHX</v>
          </cell>
          <cell r="M190" t="str">
            <v>Thôn 2</v>
          </cell>
          <cell r="N190">
            <v>1</v>
          </cell>
        </row>
        <row r="191">
          <cell r="B191">
            <v>535770</v>
          </cell>
          <cell r="C191" t="str">
            <v>53</v>
          </cell>
          <cell r="D191" t="str">
            <v>BĐTP Huế</v>
          </cell>
          <cell r="E191" t="str">
            <v>5357</v>
          </cell>
          <cell r="F191" t="str">
            <v>Bưu điện A Lưới</v>
          </cell>
          <cell r="J191">
            <v>535770</v>
          </cell>
          <cell r="K191" t="str">
            <v>Hồng Quảng (TD)</v>
          </cell>
          <cell r="L191" t="str">
            <v>VHX</v>
          </cell>
          <cell r="M191" t="str">
            <v>Thôn 3</v>
          </cell>
          <cell r="N191">
            <v>1</v>
          </cell>
        </row>
        <row r="192">
          <cell r="B192">
            <v>535850</v>
          </cell>
          <cell r="C192" t="str">
            <v>53</v>
          </cell>
          <cell r="D192" t="str">
            <v>BĐTP Huế</v>
          </cell>
          <cell r="E192" t="str">
            <v>5357</v>
          </cell>
          <cell r="F192" t="str">
            <v>Bưu điện A Lưới</v>
          </cell>
          <cell r="J192">
            <v>535850</v>
          </cell>
          <cell r="K192" t="str">
            <v>A Đớt (TD)</v>
          </cell>
          <cell r="L192" t="str">
            <v>VHX</v>
          </cell>
          <cell r="M192" t="str">
            <v>Thôn Chi Lanh</v>
          </cell>
          <cell r="N192">
            <v>1</v>
          </cell>
        </row>
        <row r="193">
          <cell r="B193">
            <v>533671</v>
          </cell>
          <cell r="C193" t="str">
            <v>53</v>
          </cell>
          <cell r="D193" t="str">
            <v>BĐTP Huế</v>
          </cell>
          <cell r="E193" t="str">
            <v>5310</v>
          </cell>
          <cell r="F193" t="str">
            <v>Bưu điện Huế</v>
          </cell>
          <cell r="J193">
            <v>533671</v>
          </cell>
          <cell r="K193" t="str">
            <v>An Cựu</v>
          </cell>
          <cell r="L193" t="str">
            <v>GD3</v>
          </cell>
          <cell r="M193" t="str">
            <v>67A Hoàng Quốc Việt</v>
          </cell>
        </row>
        <row r="194">
          <cell r="B194">
            <v>531010</v>
          </cell>
          <cell r="C194" t="str">
            <v>53</v>
          </cell>
          <cell r="D194" t="str">
            <v>BĐTP Huế</v>
          </cell>
          <cell r="E194" t="str">
            <v>5310</v>
          </cell>
          <cell r="F194" t="str">
            <v>Bưu điện Huế</v>
          </cell>
          <cell r="J194">
            <v>531010</v>
          </cell>
          <cell r="K194" t="str">
            <v>Lý Thường Kiệt (TD)</v>
          </cell>
          <cell r="L194" t="str">
            <v>GD3</v>
          </cell>
          <cell r="M194" t="str">
            <v>14B Đường Lý Thường Kiệt</v>
          </cell>
          <cell r="N194">
            <v>1</v>
          </cell>
        </row>
        <row r="195">
          <cell r="B195">
            <v>533645</v>
          </cell>
          <cell r="C195" t="str">
            <v>53</v>
          </cell>
          <cell r="D195" t="str">
            <v>BĐTP Huế</v>
          </cell>
          <cell r="E195" t="str">
            <v>5310</v>
          </cell>
          <cell r="F195" t="str">
            <v>Bưu điện Huế</v>
          </cell>
          <cell r="J195">
            <v>533645</v>
          </cell>
          <cell r="K195" t="str">
            <v>Trần Phú (TD)</v>
          </cell>
          <cell r="L195" t="str">
            <v>GD3</v>
          </cell>
          <cell r="M195" t="str">
            <v>151 Đường Trần Phú</v>
          </cell>
          <cell r="N195">
            <v>1</v>
          </cell>
        </row>
        <row r="196">
          <cell r="B196">
            <v>531000</v>
          </cell>
          <cell r="C196" t="str">
            <v>53</v>
          </cell>
          <cell r="D196" t="str">
            <v>BĐTP Huế</v>
          </cell>
          <cell r="E196" t="str">
            <v>5310</v>
          </cell>
          <cell r="F196" t="str">
            <v>Bưu điện Huế</v>
          </cell>
          <cell r="J196">
            <v>531000</v>
          </cell>
          <cell r="K196" t="str">
            <v>Chuyển tiền (TD)</v>
          </cell>
          <cell r="L196" t="str">
            <v>GD3</v>
          </cell>
          <cell r="M196" t="str">
            <v>08 Đường Hoàng Hoa Thám</v>
          </cell>
          <cell r="N196">
            <v>1</v>
          </cell>
        </row>
        <row r="197">
          <cell r="B197">
            <v>533040</v>
          </cell>
          <cell r="C197" t="str">
            <v>53</v>
          </cell>
          <cell r="D197" t="str">
            <v>BĐTP Huế</v>
          </cell>
          <cell r="E197" t="str">
            <v>5310</v>
          </cell>
          <cell r="F197" t="str">
            <v>Bưu điện Huế</v>
          </cell>
          <cell r="J197">
            <v>533040</v>
          </cell>
          <cell r="K197" t="str">
            <v>Huế Ga (TD)</v>
          </cell>
          <cell r="L197" t="str">
            <v>GD3</v>
          </cell>
          <cell r="M197" t="str">
            <v>2 Đường Bùi Thị Xuân</v>
          </cell>
          <cell r="N197">
            <v>1</v>
          </cell>
        </row>
        <row r="198">
          <cell r="B198">
            <v>531150</v>
          </cell>
          <cell r="C198" t="str">
            <v>53</v>
          </cell>
          <cell r="D198" t="str">
            <v>BĐTP Huế</v>
          </cell>
          <cell r="E198" t="str">
            <v>5310</v>
          </cell>
          <cell r="F198" t="str">
            <v>Bưu điện Huế</v>
          </cell>
          <cell r="J198">
            <v>531150</v>
          </cell>
          <cell r="K198" t="str">
            <v>Lê Lợi (TD)</v>
          </cell>
          <cell r="L198" t="str">
            <v>GD3</v>
          </cell>
          <cell r="M198" t="str">
            <v>49 Đường Lê Lợi</v>
          </cell>
          <cell r="N198">
            <v>1</v>
          </cell>
        </row>
        <row r="199">
          <cell r="B199">
            <v>536160</v>
          </cell>
          <cell r="C199" t="str">
            <v>53</v>
          </cell>
          <cell r="D199" t="str">
            <v>BĐTP Huế</v>
          </cell>
          <cell r="E199" t="str">
            <v>5361</v>
          </cell>
          <cell r="F199" t="str">
            <v>Bưu điện Hương Thuỷ</v>
          </cell>
          <cell r="J199">
            <v>536160</v>
          </cell>
          <cell r="K199" t="str">
            <v>Thủy Châu (TD)</v>
          </cell>
          <cell r="L199" t="str">
            <v>GD3</v>
          </cell>
          <cell r="M199" t="str">
            <v>Tổ 8, Khu Châu Sơn</v>
          </cell>
          <cell r="N199">
            <v>1</v>
          </cell>
        </row>
        <row r="200">
          <cell r="B200">
            <v>536102</v>
          </cell>
          <cell r="C200" t="str">
            <v>53</v>
          </cell>
          <cell r="D200" t="str">
            <v>BĐTP Huế</v>
          </cell>
          <cell r="E200" t="str">
            <v>5361</v>
          </cell>
          <cell r="F200" t="str">
            <v>Bưu điện Hương Thuỷ</v>
          </cell>
          <cell r="J200">
            <v>536102</v>
          </cell>
          <cell r="K200" t="str">
            <v>KCN Phú Bài (TD)</v>
          </cell>
          <cell r="L200" t="str">
            <v>GD3</v>
          </cell>
          <cell r="M200" t="str">
            <v>Tổ 16, Khu VIII</v>
          </cell>
          <cell r="N200">
            <v>1</v>
          </cell>
        </row>
        <row r="201">
          <cell r="B201">
            <v>535480</v>
          </cell>
          <cell r="C201" t="str">
            <v>53</v>
          </cell>
          <cell r="D201" t="str">
            <v>BĐTP Huế</v>
          </cell>
          <cell r="E201" t="str">
            <v>5353</v>
          </cell>
          <cell r="F201" t="str">
            <v>BĐKV Hương Trà - Quảng Điền</v>
          </cell>
          <cell r="J201">
            <v>535480</v>
          </cell>
          <cell r="K201" t="str">
            <v>Hồng Tiến (TD)</v>
          </cell>
          <cell r="L201" t="str">
            <v>VHX</v>
          </cell>
          <cell r="M201" t="str">
            <v>Thôn Đông Hòa</v>
          </cell>
          <cell r="N201">
            <v>1</v>
          </cell>
        </row>
        <row r="202">
          <cell r="B202">
            <v>536440</v>
          </cell>
          <cell r="C202" t="str">
            <v>53</v>
          </cell>
          <cell r="D202" t="str">
            <v>BĐTP Huế</v>
          </cell>
          <cell r="E202" t="str">
            <v>5364</v>
          </cell>
          <cell r="F202" t="str">
            <v>Bưu điện Phú Lộc</v>
          </cell>
          <cell r="J202">
            <v>536440</v>
          </cell>
          <cell r="K202" t="str">
            <v>Hương Hòa (TD)</v>
          </cell>
          <cell r="L202" t="str">
            <v>VHX</v>
          </cell>
          <cell r="M202" t="str">
            <v>Thôn Tây Linh</v>
          </cell>
          <cell r="N202">
            <v>1</v>
          </cell>
        </row>
        <row r="203">
          <cell r="B203">
            <v>537101</v>
          </cell>
          <cell r="C203" t="str">
            <v>53</v>
          </cell>
          <cell r="D203" t="str">
            <v>BĐTP Huế</v>
          </cell>
          <cell r="E203" t="str">
            <v>5371</v>
          </cell>
          <cell r="F203" t="str">
            <v>Bưu điện Phú Lộc</v>
          </cell>
          <cell r="J203">
            <v>537101</v>
          </cell>
          <cell r="K203" t="str">
            <v>Cầu Hai (TD)</v>
          </cell>
          <cell r="L203" t="str">
            <v>VHX</v>
          </cell>
          <cell r="M203" t="str">
            <v>Khu Vực IV</v>
          </cell>
          <cell r="N203">
            <v>1</v>
          </cell>
        </row>
        <row r="204">
          <cell r="B204">
            <v>537200</v>
          </cell>
          <cell r="C204" t="str">
            <v>53</v>
          </cell>
          <cell r="D204" t="str">
            <v>BĐTP Huế</v>
          </cell>
          <cell r="E204" t="str">
            <v>5371</v>
          </cell>
          <cell r="F204" t="str">
            <v>Bưu điện Phú Lộc</v>
          </cell>
          <cell r="J204">
            <v>537200</v>
          </cell>
          <cell r="K204" t="str">
            <v>Truồi (TD)</v>
          </cell>
          <cell r="L204" t="str">
            <v>GD3</v>
          </cell>
          <cell r="M204" t="str">
            <v>Thôn Xuân Lai</v>
          </cell>
          <cell r="N204">
            <v>1</v>
          </cell>
        </row>
        <row r="205">
          <cell r="B205">
            <v>536760</v>
          </cell>
          <cell r="C205" t="str">
            <v>53</v>
          </cell>
          <cell r="D205" t="str">
            <v>BĐTP Huế</v>
          </cell>
          <cell r="E205" t="str">
            <v>5367</v>
          </cell>
          <cell r="F205" t="str">
            <v>Bưu điện Phú Vang</v>
          </cell>
          <cell r="J205">
            <v>536760</v>
          </cell>
          <cell r="K205" t="str">
            <v>Phú Tân (TD)</v>
          </cell>
          <cell r="L205" t="str">
            <v>GD3</v>
          </cell>
          <cell r="M205" t="str">
            <v>Thôn Tân Cảng</v>
          </cell>
          <cell r="N205">
            <v>1</v>
          </cell>
        </row>
        <row r="206">
          <cell r="B206">
            <v>536870</v>
          </cell>
          <cell r="C206" t="str">
            <v>53</v>
          </cell>
          <cell r="D206" t="str">
            <v>BĐTP Huế</v>
          </cell>
          <cell r="E206" t="str">
            <v>5367</v>
          </cell>
          <cell r="F206" t="str">
            <v>Bưu điện Phú Vang</v>
          </cell>
          <cell r="J206">
            <v>536870</v>
          </cell>
          <cell r="K206" t="str">
            <v>Viễn Trình (TD)</v>
          </cell>
          <cell r="L206" t="str">
            <v>GD3</v>
          </cell>
          <cell r="M206" t="str">
            <v>Thôn Viễn Trình</v>
          </cell>
          <cell r="N206">
            <v>1</v>
          </cell>
        </row>
        <row r="207">
          <cell r="B207">
            <v>536910</v>
          </cell>
          <cell r="C207" t="str">
            <v>53</v>
          </cell>
          <cell r="D207" t="str">
            <v>BĐTP Huế</v>
          </cell>
          <cell r="E207" t="str">
            <v>5367</v>
          </cell>
          <cell r="F207" t="str">
            <v>Bưu điện Phú Vang</v>
          </cell>
          <cell r="J207">
            <v>536910</v>
          </cell>
          <cell r="K207" t="str">
            <v>Vinh Phú (TD)</v>
          </cell>
          <cell r="L207" t="str">
            <v>VHX</v>
          </cell>
          <cell r="M207" t="str">
            <v>Thôn Trường Hà</v>
          </cell>
          <cell r="N207">
            <v>1</v>
          </cell>
        </row>
        <row r="208">
          <cell r="B208">
            <v>537001</v>
          </cell>
          <cell r="C208" t="str">
            <v>53</v>
          </cell>
          <cell r="D208" t="str">
            <v>BĐTP Huế</v>
          </cell>
          <cell r="E208" t="str">
            <v>5367</v>
          </cell>
          <cell r="F208" t="str">
            <v>Bưu điện Phú Vang</v>
          </cell>
          <cell r="J208">
            <v>537001</v>
          </cell>
          <cell r="K208" t="str">
            <v>Vinh An (TD)</v>
          </cell>
          <cell r="L208" t="str">
            <v>VHX</v>
          </cell>
          <cell r="M208" t="str">
            <v>Thôn Trung Hải</v>
          </cell>
          <cell r="N208">
            <v>1</v>
          </cell>
        </row>
        <row r="209">
          <cell r="B209">
            <v>534810</v>
          </cell>
          <cell r="C209" t="str">
            <v>53</v>
          </cell>
          <cell r="D209" t="str">
            <v>BĐTP Huế</v>
          </cell>
          <cell r="E209" t="str">
            <v>5346</v>
          </cell>
          <cell r="F209" t="str">
            <v>BĐKV Hương Trà - Quảng Điền</v>
          </cell>
          <cell r="J209">
            <v>534810</v>
          </cell>
          <cell r="K209" t="str">
            <v>Quảng Thành (TD)</v>
          </cell>
          <cell r="L209" t="str">
            <v>GD3</v>
          </cell>
          <cell r="M209" t="str">
            <v>Thôn Thanh Hà</v>
          </cell>
          <cell r="N209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an tinh"/>
      <sheetName val="VPN_2022"/>
      <sheetName val="VPN_Backup_2962"/>
      <sheetName val="ĐPV 6-2025"/>
      <sheetName val="Sheet2"/>
      <sheetName val="1738 BĐVN VHX-Dot5 2020"/>
      <sheetName val="5363 BĐVN-QLDA"/>
      <sheetName val="985 BĐVN-VHX Dot5"/>
      <sheetName val="bmgf"/>
      <sheetName val="MPS KT1"/>
      <sheetName val="Sheet1"/>
    </sheetNames>
    <sheetDataSet>
      <sheetData sheetId="0"/>
      <sheetData sheetId="1">
        <row r="2">
          <cell r="A2">
            <v>535850</v>
          </cell>
          <cell r="B2">
            <v>0</v>
          </cell>
          <cell r="C2">
            <v>0</v>
          </cell>
          <cell r="D2" t="str">
            <v>Bưu điện KV A Lưới</v>
          </cell>
          <cell r="E2" t="str">
            <v>A Đớt (BOX)</v>
          </cell>
          <cell r="F2" t="str">
            <v>Thùng thư công cộng</v>
          </cell>
        </row>
        <row r="3">
          <cell r="A3">
            <v>535770</v>
          </cell>
          <cell r="B3">
            <v>0</v>
          </cell>
          <cell r="C3">
            <v>0</v>
          </cell>
          <cell r="D3" t="str">
            <v>Bưu điện KV A Lưới</v>
          </cell>
          <cell r="E3" t="str">
            <v>Hồng Quảng (BOX)</v>
          </cell>
          <cell r="F3" t="str">
            <v>Thùng thư công cộng</v>
          </cell>
        </row>
        <row r="4">
          <cell r="A4">
            <v>535730</v>
          </cell>
          <cell r="B4">
            <v>0</v>
          </cell>
          <cell r="C4">
            <v>0</v>
          </cell>
          <cell r="D4" t="str">
            <v>Bưu điện KV A Lưới</v>
          </cell>
          <cell r="E4" t="str">
            <v>Bắc Sơn (BOX)</v>
          </cell>
          <cell r="F4" t="str">
            <v>Thùng thư công cộng</v>
          </cell>
        </row>
        <row r="5">
          <cell r="A5">
            <v>536102</v>
          </cell>
          <cell r="B5">
            <v>0</v>
          </cell>
          <cell r="C5">
            <v>0</v>
          </cell>
          <cell r="D5" t="str">
            <v>Bưu điện KV Hương Thủy</v>
          </cell>
          <cell r="E5" t="str">
            <v>KCN Phú Bài (BOX)</v>
          </cell>
          <cell r="F5" t="str">
            <v>Thùng thư công cộng</v>
          </cell>
        </row>
        <row r="6">
          <cell r="A6">
            <v>536910</v>
          </cell>
          <cell r="B6">
            <v>0</v>
          </cell>
          <cell r="C6">
            <v>0</v>
          </cell>
          <cell r="D6" t="str">
            <v>Bưu điện KV Phú Vang</v>
          </cell>
          <cell r="E6" t="str">
            <v>Thùng thư công cộng</v>
          </cell>
          <cell r="F6" t="str">
            <v>Thùng thư công cộng</v>
          </cell>
        </row>
        <row r="7">
          <cell r="A7">
            <v>537101</v>
          </cell>
          <cell r="B7">
            <v>0</v>
          </cell>
          <cell r="C7">
            <v>0</v>
          </cell>
          <cell r="D7" t="str">
            <v>Bưu điện KV Phú Lộc</v>
          </cell>
          <cell r="E7" t="str">
            <v>Cầu Hai (BOX)</v>
          </cell>
          <cell r="F7" t="str">
            <v>Thùng thư công cộng</v>
          </cell>
        </row>
        <row r="8">
          <cell r="A8">
            <v>531150</v>
          </cell>
          <cell r="B8">
            <v>0</v>
          </cell>
          <cell r="C8">
            <v>0</v>
          </cell>
          <cell r="D8" t="e">
            <v>#N/A</v>
          </cell>
          <cell r="E8" t="str">
            <v>Bưu cục Lê Lợi</v>
          </cell>
          <cell r="F8" t="str">
            <v>Bưu cục giao dịch cấp 3</v>
          </cell>
        </row>
        <row r="9">
          <cell r="A9">
            <v>536730</v>
          </cell>
          <cell r="B9">
            <v>5300</v>
          </cell>
          <cell r="C9" t="str">
            <v>Bưu điện phường Thuận An</v>
          </cell>
          <cell r="D9" t="str">
            <v>Bưu điện KV Phú Vang</v>
          </cell>
          <cell r="E9" t="str">
            <v>Bưu cục Phú Hải</v>
          </cell>
          <cell r="F9" t="str">
            <v>Bưu cục giao dịch cấp 3</v>
          </cell>
          <cell r="H9" t="str">
            <v>Desktop</v>
          </cell>
          <cell r="I9" t="str">
            <v>HUE-PVG-PHI</v>
          </cell>
          <cell r="J9" t="str">
            <v>Dell Optiplex 3040</v>
          </cell>
          <cell r="K9">
            <v>11</v>
          </cell>
          <cell r="L9">
            <v>2018</v>
          </cell>
          <cell r="M9" t="str">
            <v>Không đáp ứng cần nâng cấp</v>
          </cell>
          <cell r="N9" t="str">
            <v>Intel i3-6100 3.20GHz</v>
          </cell>
          <cell r="O9" t="str">
            <v>4GB</v>
          </cell>
          <cell r="P9" t="str">
            <v>HDD 500GB</v>
          </cell>
          <cell r="Q9" t="str">
            <v>Microsoft Windows 11</v>
          </cell>
        </row>
        <row r="10">
          <cell r="A10">
            <v>536740</v>
          </cell>
          <cell r="B10">
            <v>5300</v>
          </cell>
          <cell r="C10" t="str">
            <v>Bưu điện phường Thuận An</v>
          </cell>
          <cell r="D10" t="str">
            <v>Bưu điện KV Phú Vang</v>
          </cell>
          <cell r="E10" t="str">
            <v>Bưu điện VHX Phú Thuận</v>
          </cell>
          <cell r="F10" t="str">
            <v>Bưu điện VHX</v>
          </cell>
          <cell r="H10" t="str">
            <v>Desktop</v>
          </cell>
          <cell r="I10" t="str">
            <v>HUE-PVG-PTN</v>
          </cell>
          <cell r="J10" t="str">
            <v>Dell Optiplex 3040</v>
          </cell>
          <cell r="K10">
            <v>11</v>
          </cell>
          <cell r="L10">
            <v>2018</v>
          </cell>
          <cell r="M10" t="str">
            <v>Không đáp ứng cần nâng cấp</v>
          </cell>
          <cell r="N10" t="str">
            <v>Intel i3-6100 3.20GHz</v>
          </cell>
          <cell r="O10" t="str">
            <v>4GB</v>
          </cell>
          <cell r="P10" t="str">
            <v>HDD 500GB</v>
          </cell>
          <cell r="Q10" t="str">
            <v>Microsoft Windows 10</v>
          </cell>
        </row>
        <row r="11">
          <cell r="A11">
            <v>536750</v>
          </cell>
          <cell r="B11">
            <v>5300</v>
          </cell>
          <cell r="C11" t="str">
            <v>Bưu điện phường Thuận An</v>
          </cell>
          <cell r="D11" t="str">
            <v>Bưu điện KV Thuận Hóa - Phú Xuân</v>
          </cell>
          <cell r="E11" t="str">
            <v>Bưu cục Cửa Thuận</v>
          </cell>
          <cell r="F11" t="str">
            <v>Bưu cục giao dịch cấp 3</v>
          </cell>
          <cell r="H11" t="str">
            <v>Desktop</v>
          </cell>
          <cell r="I11" t="str">
            <v>HUE-TP-CTN</v>
          </cell>
          <cell r="J11" t="str">
            <v>Dell Optiplex 5060</v>
          </cell>
          <cell r="K11">
            <v>10</v>
          </cell>
          <cell r="L11">
            <v>2019</v>
          </cell>
          <cell r="M11" t="str">
            <v>Không đáp ứng cần nâng cấp</v>
          </cell>
          <cell r="N11" t="str">
            <v>Intel i3-8100 3.20GHz</v>
          </cell>
          <cell r="O11" t="str">
            <v>4GB</v>
          </cell>
          <cell r="P11" t="str">
            <v>HDD 500GB</v>
          </cell>
          <cell r="Q11" t="str">
            <v>Microsoft Windows 10</v>
          </cell>
        </row>
        <row r="12">
          <cell r="A12">
            <v>536750</v>
          </cell>
          <cell r="B12">
            <v>5300</v>
          </cell>
          <cell r="C12" t="str">
            <v>Bưu điện phường Thuận An</v>
          </cell>
          <cell r="D12" t="str">
            <v>Bưu điện KV Thuận Hóa - Phú Xuân</v>
          </cell>
          <cell r="E12" t="str">
            <v>Bưu điện phường Thuận An</v>
          </cell>
          <cell r="F12" t="str">
            <v>BĐ xã/phường</v>
          </cell>
          <cell r="G12" t="str">
            <v>THANH THÌN</v>
          </cell>
          <cell r="H12" t="str">
            <v>Desktop</v>
          </cell>
          <cell r="I12" t="str">
            <v>HUE-TAN-GD</v>
          </cell>
          <cell r="J12" t="str">
            <v>Dell Optiplex 5060</v>
          </cell>
          <cell r="K12">
            <v>10</v>
          </cell>
          <cell r="L12">
            <v>2019</v>
          </cell>
          <cell r="M12" t="str">
            <v>Không đáp ứng cần nâng cấp</v>
          </cell>
          <cell r="N12" t="str">
            <v>Intel i3-8100 3.20GHz</v>
          </cell>
          <cell r="O12" t="str">
            <v>4GB</v>
          </cell>
          <cell r="P12" t="str">
            <v>HDD 500GB</v>
          </cell>
          <cell r="Q12" t="str">
            <v>Microsoft Windows 10</v>
          </cell>
        </row>
        <row r="13">
          <cell r="A13">
            <v>535370</v>
          </cell>
          <cell r="B13">
            <v>5300</v>
          </cell>
          <cell r="C13" t="str">
            <v>Bưu điện phường Thuận An</v>
          </cell>
          <cell r="D13" t="str">
            <v>Bưu điện KV Thuận Hóa - Phú Xuân</v>
          </cell>
          <cell r="E13" t="str">
            <v>Bưu điện VHX Hải Dương</v>
          </cell>
          <cell r="F13" t="str">
            <v>Bưu điện VHX</v>
          </cell>
          <cell r="H13" t="str">
            <v>Desktop</v>
          </cell>
          <cell r="I13" t="str">
            <v>HUE-TP-HDG</v>
          </cell>
          <cell r="J13" t="str">
            <v>HP Prodesk 600 G5</v>
          </cell>
          <cell r="K13">
            <v>10</v>
          </cell>
          <cell r="L13">
            <v>2020</v>
          </cell>
          <cell r="M13" t="str">
            <v>Nhanh</v>
          </cell>
          <cell r="N13" t="str">
            <v>Intel i3 9100T 3.1GHz</v>
          </cell>
          <cell r="O13" t="str">
            <v>4GB</v>
          </cell>
          <cell r="P13" t="str">
            <v>HDD 500GB</v>
          </cell>
          <cell r="Q13" t="str">
            <v>Microsoft Windows 10</v>
          </cell>
        </row>
        <row r="14">
          <cell r="A14">
            <v>536751</v>
          </cell>
          <cell r="B14">
            <v>5300</v>
          </cell>
          <cell r="C14" t="str">
            <v>Bưu điện phường Thuận An</v>
          </cell>
          <cell r="D14" t="str">
            <v>Bưu điện KV Thuận Hóa - Phú Xuân</v>
          </cell>
          <cell r="E14" t="str">
            <v>Bưu điện VHX Làng Rồng</v>
          </cell>
          <cell r="F14" t="str">
            <v>Bưu điện VHX</v>
          </cell>
          <cell r="H14" t="str">
            <v>Desktop</v>
          </cell>
          <cell r="I14" t="str">
            <v>HUE-VHX-LRG</v>
          </cell>
          <cell r="J14" t="str">
            <v>Optiplex 5060</v>
          </cell>
          <cell r="K14">
            <v>11</v>
          </cell>
          <cell r="L14">
            <v>2020</v>
          </cell>
          <cell r="M14" t="str">
            <v>Đáp ứng</v>
          </cell>
          <cell r="N14" t="str">
            <v>i3 8100T</v>
          </cell>
          <cell r="Q14" t="str">
            <v/>
          </cell>
        </row>
        <row r="15">
          <cell r="A15">
            <v>536752</v>
          </cell>
          <cell r="B15">
            <v>5300</v>
          </cell>
          <cell r="C15" t="str">
            <v>Bưu điện phường Thuận An</v>
          </cell>
          <cell r="D15" t="str">
            <v>Bưu điện KV Thuận Hóa - Phú Xuân</v>
          </cell>
          <cell r="E15" t="str">
            <v>Bưu điện VHX Tân An</v>
          </cell>
          <cell r="F15" t="str">
            <v>Bưu điện VHX</v>
          </cell>
          <cell r="H15" t="str">
            <v>Desktop</v>
          </cell>
          <cell r="I15" t="str">
            <v>HUE-TP-TAN</v>
          </cell>
          <cell r="J15" t="str">
            <v>Dell Optiplex 5060</v>
          </cell>
          <cell r="K15">
            <v>10</v>
          </cell>
          <cell r="L15">
            <v>2017</v>
          </cell>
          <cell r="M15" t="str">
            <v>Chậm</v>
          </cell>
          <cell r="N15" t="str">
            <v>Intel i3-8100 3.20GHz</v>
          </cell>
          <cell r="O15" t="str">
            <v>4GB</v>
          </cell>
          <cell r="P15" t="str">
            <v>HDD 500GB</v>
          </cell>
          <cell r="Q15" t="str">
            <v>Microsoft Windows 10</v>
          </cell>
        </row>
        <row r="16">
          <cell r="A16">
            <v>535350</v>
          </cell>
          <cell r="B16">
            <v>5301</v>
          </cell>
          <cell r="C16" t="str">
            <v>Bưu điện phường Hóa Châu</v>
          </cell>
          <cell r="D16" t="str">
            <v>Bưu điện KV Thuận Hóa - Phú Xuân</v>
          </cell>
          <cell r="E16" t="str">
            <v>Bưu điện phường Mỹ Thượng</v>
          </cell>
          <cell r="F16" t="str">
            <v>BĐ xã/phường</v>
          </cell>
          <cell r="G16" t="str">
            <v>HOÀI PHƯƠNG</v>
          </cell>
          <cell r="H16" t="str">
            <v>Desktop</v>
          </cell>
          <cell r="I16" t="str">
            <v>HUE-MTG-GD</v>
          </cell>
          <cell r="K16">
            <v>10</v>
          </cell>
          <cell r="Q16" t="str">
            <v/>
          </cell>
        </row>
        <row r="17">
          <cell r="A17">
            <v>534811</v>
          </cell>
          <cell r="B17">
            <v>5301</v>
          </cell>
          <cell r="C17" t="str">
            <v>Bưu điện phường Hóa Châu</v>
          </cell>
          <cell r="D17" t="str">
            <v>Bưu điện KV Hương Trà - Quảng Điền</v>
          </cell>
          <cell r="E17" t="str">
            <v>Bưu điện VHX Quảng Thành</v>
          </cell>
          <cell r="F17" t="str">
            <v>Bưu điện VHX</v>
          </cell>
          <cell r="H17" t="str">
            <v>Desktop</v>
          </cell>
          <cell r="I17" t="str">
            <v>HUE-QDN-QTHVHX</v>
          </cell>
          <cell r="J17" t="str">
            <v>Lắp ráp ĐNA</v>
          </cell>
          <cell r="K17">
            <v>14</v>
          </cell>
          <cell r="L17">
            <v>2018</v>
          </cell>
          <cell r="M17" t="str">
            <v>Đáp ứng</v>
          </cell>
          <cell r="N17" t="str">
            <v>Intel G3220 3.0GHz</v>
          </cell>
          <cell r="O17" t="str">
            <v>6GB</v>
          </cell>
          <cell r="P17" t="str">
            <v>SSD 120GB</v>
          </cell>
          <cell r="Q17" t="str">
            <v>Microsoft Windows 10</v>
          </cell>
        </row>
        <row r="18">
          <cell r="A18">
            <v>535340</v>
          </cell>
          <cell r="B18">
            <v>5301</v>
          </cell>
          <cell r="C18" t="str">
            <v>Bưu điện phường Hóa Châu</v>
          </cell>
          <cell r="D18" t="str">
            <v>Bưu điện KV Thuận Hóa - Phú Xuân</v>
          </cell>
          <cell r="E18" t="str">
            <v>Bưu điện VHX Hương Phong</v>
          </cell>
          <cell r="F18" t="str">
            <v>Bưu điện VHX</v>
          </cell>
          <cell r="H18" t="str">
            <v>Desktop</v>
          </cell>
          <cell r="I18" t="str">
            <v>HUE-VHX-HPG</v>
          </cell>
          <cell r="J18" t="str">
            <v>HP Prodesk 600 G5</v>
          </cell>
          <cell r="K18">
            <v>11</v>
          </cell>
          <cell r="L18">
            <v>2020</v>
          </cell>
          <cell r="M18" t="str">
            <v>Nhanh</v>
          </cell>
          <cell r="Q18" t="str">
            <v/>
          </cell>
        </row>
        <row r="19">
          <cell r="A19">
            <v>535350</v>
          </cell>
          <cell r="B19">
            <v>5301</v>
          </cell>
          <cell r="C19" t="str">
            <v>Bưu điện phường Hóa Châu</v>
          </cell>
          <cell r="D19" t="str">
            <v>Bưu điện KV Thuận Hóa - Phú Xuân</v>
          </cell>
          <cell r="E19" t="str">
            <v>Bưu điện VHX Hương Vinh</v>
          </cell>
          <cell r="F19" t="str">
            <v>Bưu điện VHX</v>
          </cell>
          <cell r="H19" t="str">
            <v>Desktop</v>
          </cell>
          <cell r="I19" t="str">
            <v>HUE-TP-HVH</v>
          </cell>
          <cell r="J19" t="str">
            <v>Lắp ráp ĐNA</v>
          </cell>
          <cell r="K19">
            <v>10</v>
          </cell>
          <cell r="L19">
            <v>2021</v>
          </cell>
          <cell r="M19" t="str">
            <v>Chậm</v>
          </cell>
          <cell r="N19" t="str">
            <v>Intel G4900 3.1GHz</v>
          </cell>
          <cell r="O19" t="str">
            <v>4GB</v>
          </cell>
          <cell r="P19" t="str">
            <v>HDD 500GB</v>
          </cell>
          <cell r="Q19" t="str">
            <v>Microsoft Windows 7</v>
          </cell>
        </row>
        <row r="20">
          <cell r="A20">
            <v>536720</v>
          </cell>
          <cell r="B20">
            <v>5302</v>
          </cell>
          <cell r="C20" t="str">
            <v>Bưu điện phường Mỹ Thượng</v>
          </cell>
          <cell r="D20" t="str">
            <v>Bưu điện KV Phú Vang</v>
          </cell>
          <cell r="E20" t="str">
            <v>Bưu điện VHX Phú An</v>
          </cell>
          <cell r="F20" t="str">
            <v>Bưu điện VHX</v>
          </cell>
          <cell r="H20" t="str">
            <v>Desktop</v>
          </cell>
          <cell r="I20" t="str">
            <v>HUE-PVG-PAN</v>
          </cell>
          <cell r="J20" t="str">
            <v>Dell Optiplex 5060</v>
          </cell>
          <cell r="K20">
            <v>11</v>
          </cell>
          <cell r="L20">
            <v>2020</v>
          </cell>
          <cell r="M20" t="str">
            <v>Không đáp ứng cần nâng cấp</v>
          </cell>
          <cell r="N20" t="str">
            <v>Intel i3-8100 3.20GHz</v>
          </cell>
          <cell r="O20" t="str">
            <v>4GB</v>
          </cell>
          <cell r="P20" t="str">
            <v>HDD 500GB</v>
          </cell>
          <cell r="Q20" t="str">
            <v>Microsoft Windows 10</v>
          </cell>
        </row>
        <row r="21">
          <cell r="A21">
            <v>536820</v>
          </cell>
          <cell r="B21">
            <v>5302</v>
          </cell>
          <cell r="C21" t="str">
            <v>Bưu điện phường Mỹ Thượng</v>
          </cell>
          <cell r="D21" t="str">
            <v>Bưu điện KV Phú Vang</v>
          </cell>
          <cell r="E21" t="str">
            <v>Bưu điện VHX Phú Mỹ</v>
          </cell>
          <cell r="F21" t="str">
            <v>Bưu điện VHX</v>
          </cell>
          <cell r="H21" t="str">
            <v>Desktop</v>
          </cell>
          <cell r="I21" t="str">
            <v>HUE-PVG-PMY</v>
          </cell>
          <cell r="J21" t="str">
            <v>Dell Optiplex 5060</v>
          </cell>
          <cell r="K21">
            <v>11</v>
          </cell>
          <cell r="L21">
            <v>2019</v>
          </cell>
          <cell r="M21" t="str">
            <v>Không đáp ứng cần nâng cấp</v>
          </cell>
          <cell r="N21" t="str">
            <v>Intel i3-8100 3.20GHz</v>
          </cell>
          <cell r="O21" t="str">
            <v>4GB</v>
          </cell>
          <cell r="P21" t="str">
            <v>HDD 500GB</v>
          </cell>
          <cell r="Q21" t="str">
            <v>Microsoft Windows 10</v>
          </cell>
        </row>
        <row r="22">
          <cell r="A22">
            <v>536810</v>
          </cell>
          <cell r="B22">
            <v>5302</v>
          </cell>
          <cell r="C22" t="str">
            <v>Bưu điện phường Mỹ Thượng</v>
          </cell>
          <cell r="D22" t="str">
            <v>Bưu điện KV Thuận Hóa - Phú Xuân</v>
          </cell>
          <cell r="E22" t="str">
            <v>Bưu cục Trung Đông</v>
          </cell>
          <cell r="F22" t="str">
            <v>Bưu cục giao dịch cấp 3</v>
          </cell>
          <cell r="H22" t="str">
            <v>Desktop</v>
          </cell>
          <cell r="I22" t="str">
            <v>HUE-TP-TDG</v>
          </cell>
          <cell r="J22" t="str">
            <v>POSBANK APEXA II</v>
          </cell>
          <cell r="K22">
            <v>10</v>
          </cell>
          <cell r="L22">
            <v>2021</v>
          </cell>
          <cell r="M22" t="str">
            <v>Đáp ứng</v>
          </cell>
          <cell r="N22" t="str">
            <v>Intel J1900 2.42GHz</v>
          </cell>
          <cell r="O22" t="str">
            <v>4GB</v>
          </cell>
          <cell r="P22" t="str">
            <v>SSD 120GB</v>
          </cell>
          <cell r="Q22" t="str">
            <v>Microsoft Windows 10</v>
          </cell>
        </row>
        <row r="23">
          <cell r="A23">
            <v>536801</v>
          </cell>
          <cell r="B23">
            <v>5302</v>
          </cell>
          <cell r="C23" t="str">
            <v>Bưu điện phường Mỹ Thượng</v>
          </cell>
          <cell r="D23" t="str">
            <v>Bưu điện KV Thuận Hóa - Phú Xuân</v>
          </cell>
          <cell r="E23" t="str">
            <v>Bưu điện VHX Phú Thượng</v>
          </cell>
          <cell r="F23" t="str">
            <v>Bưu điện VHX</v>
          </cell>
          <cell r="H23" t="str">
            <v>Desktop</v>
          </cell>
          <cell r="I23" t="str">
            <v>HUE-TP-PTG</v>
          </cell>
          <cell r="J23" t="str">
            <v>Dell Optiplex 3040</v>
          </cell>
          <cell r="K23">
            <v>10</v>
          </cell>
          <cell r="L23">
            <v>2018</v>
          </cell>
          <cell r="M23" t="str">
            <v>Không đáp ứng cần nâng cấp</v>
          </cell>
          <cell r="N23" t="str">
            <v>Intel i3-6100 3.20GHz</v>
          </cell>
          <cell r="O23" t="str">
            <v>4GB</v>
          </cell>
          <cell r="P23" t="str">
            <v>HDD 500GB</v>
          </cell>
          <cell r="Q23" t="str">
            <v>Microsoft Windows 10</v>
          </cell>
        </row>
        <row r="24">
          <cell r="A24">
            <v>536801</v>
          </cell>
          <cell r="B24">
            <v>5302</v>
          </cell>
          <cell r="C24" t="str">
            <v>Bưu điện phường Mỹ Thượng</v>
          </cell>
          <cell r="D24" t="str">
            <v>Bưu điện KV Thuận Hóa - Phú Xuân</v>
          </cell>
          <cell r="E24" t="str">
            <v>Bưu điện phường Phú Thượng</v>
          </cell>
          <cell r="F24" t="str">
            <v>BĐ xã/phường</v>
          </cell>
          <cell r="H24" t="str">
            <v>Desktop</v>
          </cell>
          <cell r="I24" t="str">
            <v>HUE-PTG-GD</v>
          </cell>
          <cell r="J24" t="str">
            <v>Dell Optiplex 3040</v>
          </cell>
          <cell r="K24">
            <v>10</v>
          </cell>
          <cell r="L24">
            <v>2020</v>
          </cell>
          <cell r="M24" t="str">
            <v>Đáp ứng</v>
          </cell>
          <cell r="N24" t="str">
            <v>Intel G4400 3.3GHz</v>
          </cell>
          <cell r="O24" t="str">
            <v>4GB</v>
          </cell>
          <cell r="P24" t="str">
            <v>SSD 120GB</v>
          </cell>
          <cell r="Q24" t="str">
            <v>Microsoft Windows 10</v>
          </cell>
        </row>
        <row r="25">
          <cell r="A25">
            <v>536190</v>
          </cell>
          <cell r="B25">
            <v>5303</v>
          </cell>
          <cell r="C25" t="str">
            <v>Bưu điện phường Vỹ Dạ</v>
          </cell>
          <cell r="D25" t="str">
            <v>Bưu điện KV Thuận Hóa - Phú Xuân</v>
          </cell>
          <cell r="E25" t="str">
            <v>Bưu điện phường Vỹ Dạ</v>
          </cell>
          <cell r="F25" t="str">
            <v>BĐ xã/phường</v>
          </cell>
          <cell r="G25" t="str">
            <v>VÕ KHẮC QUÝ</v>
          </cell>
          <cell r="H25" t="str">
            <v>Desktop</v>
          </cell>
          <cell r="I25" t="str">
            <v>HUE-VDA-GD</v>
          </cell>
          <cell r="J25" t="str">
            <v>Dell Optiplex 3020</v>
          </cell>
          <cell r="K25">
            <v>13</v>
          </cell>
          <cell r="L25">
            <v>2016</v>
          </cell>
          <cell r="M25" t="str">
            <v>Không đáp ứng cần nâng cấp</v>
          </cell>
          <cell r="N25" t="str">
            <v>Intel i3 4150T 3.1GHz</v>
          </cell>
          <cell r="O25" t="str">
            <v>4GB</v>
          </cell>
          <cell r="P25" t="str">
            <v>SSD 120GB</v>
          </cell>
          <cell r="Q25" t="str">
            <v>Microsoft Windows 10</v>
          </cell>
        </row>
        <row r="26">
          <cell r="A26">
            <v>536190</v>
          </cell>
          <cell r="B26">
            <v>5303</v>
          </cell>
          <cell r="C26" t="str">
            <v>Bưu điện phường Vỹ Dạ</v>
          </cell>
          <cell r="D26" t="str">
            <v>Bưu điện KV Thuận Hóa - Phú Xuân</v>
          </cell>
          <cell r="E26" t="str">
            <v>Bưu điện VHX Thủy Vân</v>
          </cell>
          <cell r="F26" t="str">
            <v>Bưu điện VHX</v>
          </cell>
          <cell r="H26" t="str">
            <v>Desktop</v>
          </cell>
          <cell r="J26" t="str">
            <v>tạm đóng cửa</v>
          </cell>
          <cell r="K26">
            <v>0</v>
          </cell>
          <cell r="Q26" t="str">
            <v/>
          </cell>
        </row>
        <row r="27">
          <cell r="A27">
            <v>531106</v>
          </cell>
          <cell r="B27">
            <v>5304</v>
          </cell>
          <cell r="C27" t="str">
            <v>Bưu điện phường Thuận Hóa</v>
          </cell>
          <cell r="D27" t="str">
            <v>Bưu điện KV Thuận Hóa - Phú Xuân</v>
          </cell>
          <cell r="E27" t="str">
            <v>Bưu cục VP Bưu điện TT Thuận Hóa - Phú Xuân</v>
          </cell>
          <cell r="F27" t="str">
            <v>Văn phòng</v>
          </cell>
          <cell r="G27" t="str">
            <v>CSKH</v>
          </cell>
          <cell r="H27" t="str">
            <v>Desktop</v>
          </cell>
          <cell r="I27" t="str">
            <v>HUE-TP-HOEDT</v>
          </cell>
          <cell r="J27" t="str">
            <v>Lắp ráp ĐNA</v>
          </cell>
          <cell r="K27">
            <v>12</v>
          </cell>
          <cell r="L27">
            <v>2017</v>
          </cell>
          <cell r="M27" t="str">
            <v>Đáp ứng</v>
          </cell>
          <cell r="N27" t="str">
            <v>Intel G3260</v>
          </cell>
          <cell r="O27" t="str">
            <v>4GB</v>
          </cell>
          <cell r="P27" t="str">
            <v>HDD 500GB</v>
          </cell>
          <cell r="Q27" t="str">
            <v>Microsoft Windows 10</v>
          </cell>
        </row>
        <row r="28">
          <cell r="A28">
            <v>531106</v>
          </cell>
          <cell r="B28">
            <v>5304</v>
          </cell>
          <cell r="C28" t="str">
            <v>Bưu điện phường Thuận Hóa</v>
          </cell>
          <cell r="D28" t="str">
            <v>Bưu điện KV Thuận Hóa - Phú Xuân</v>
          </cell>
          <cell r="E28" t="str">
            <v>Bưu cục VP Bưu điện TT Thuận Hóa - Phú Xuân</v>
          </cell>
          <cell r="F28" t="str">
            <v>Văn phòng</v>
          </cell>
          <cell r="G28" t="str">
            <v>CSKH</v>
          </cell>
          <cell r="H28" t="str">
            <v>Desktop</v>
          </cell>
          <cell r="I28" t="str">
            <v>HUE-TP-NATTL</v>
          </cell>
          <cell r="J28" t="str">
            <v>Lắp ráp ĐNA</v>
          </cell>
          <cell r="K28">
            <v>12</v>
          </cell>
          <cell r="L28">
            <v>2019</v>
          </cell>
          <cell r="M28" t="str">
            <v>Đáp ứng</v>
          </cell>
          <cell r="N28" t="str">
            <v>Intel G4400 3.3GHz</v>
          </cell>
          <cell r="O28" t="str">
            <v>4GB</v>
          </cell>
          <cell r="P28" t="str">
            <v>SSD 120GB</v>
          </cell>
          <cell r="Q28" t="str">
            <v>Microsoft Windows 7</v>
          </cell>
        </row>
        <row r="29">
          <cell r="A29">
            <v>531106</v>
          </cell>
          <cell r="B29">
            <v>5304</v>
          </cell>
          <cell r="C29" t="str">
            <v>Bưu điện phường Thuận Hóa</v>
          </cell>
          <cell r="D29" t="str">
            <v>Bưu điện KV Thuận Hóa - Phú Xuân</v>
          </cell>
          <cell r="E29" t="str">
            <v>Bưu cục VP Bưu điện TT Thuận Hóa - Phú Xuân</v>
          </cell>
          <cell r="F29" t="str">
            <v>Văn phòng</v>
          </cell>
          <cell r="G29" t="str">
            <v>CSKH</v>
          </cell>
          <cell r="H29" t="str">
            <v>Desktop</v>
          </cell>
          <cell r="I29" t="str">
            <v>HUE-TP-PHUONG</v>
          </cell>
          <cell r="J29" t="str">
            <v>Lắp ráp ĐNA</v>
          </cell>
          <cell r="K29">
            <v>13</v>
          </cell>
          <cell r="L29">
            <v>2019</v>
          </cell>
          <cell r="M29" t="str">
            <v>Không đáp ứng cần nâng cấp</v>
          </cell>
          <cell r="N29" t="str">
            <v>Intel G5400 3.7GHz</v>
          </cell>
          <cell r="O29" t="str">
            <v>4GB</v>
          </cell>
          <cell r="P29" t="str">
            <v>SSD 240GB</v>
          </cell>
          <cell r="Q29" t="str">
            <v>Microsoft Windows 10</v>
          </cell>
        </row>
        <row r="30">
          <cell r="A30">
            <v>531106</v>
          </cell>
          <cell r="B30">
            <v>5304</v>
          </cell>
          <cell r="C30" t="str">
            <v>Bưu điện phường Thuận Hóa</v>
          </cell>
          <cell r="D30" t="str">
            <v>Bưu điện KV Thuận Hóa - Phú Xuân</v>
          </cell>
          <cell r="E30" t="str">
            <v>Bưu cục VP Bưu điện TT Thuận Hóa - Phú Xuân</v>
          </cell>
          <cell r="F30" t="str">
            <v>Văn phòng</v>
          </cell>
          <cell r="G30" t="str">
            <v>GĐ</v>
          </cell>
          <cell r="H30" t="str">
            <v>Desktop</v>
          </cell>
          <cell r="I30" t="str">
            <v>HUE-TP-QUANGHH</v>
          </cell>
          <cell r="J30" t="str">
            <v>Lắp ráp ĐNA</v>
          </cell>
          <cell r="K30">
            <v>14</v>
          </cell>
          <cell r="L30">
            <v>2022</v>
          </cell>
          <cell r="M30" t="str">
            <v>Đáp ứng</v>
          </cell>
          <cell r="N30" t="str">
            <v>Intel G6405 4.1GHz</v>
          </cell>
          <cell r="O30" t="str">
            <v>4GB</v>
          </cell>
          <cell r="P30" t="str">
            <v>SSD 120GB</v>
          </cell>
          <cell r="Q30" t="str">
            <v>Microsoft Windows 10</v>
          </cell>
        </row>
        <row r="31">
          <cell r="A31">
            <v>531106</v>
          </cell>
          <cell r="B31">
            <v>5304</v>
          </cell>
          <cell r="C31" t="str">
            <v>Bưu điện phường Thuận Hóa</v>
          </cell>
          <cell r="D31" t="str">
            <v>Bưu điện KV Thuận Hóa - Phú Xuân</v>
          </cell>
          <cell r="E31" t="str">
            <v>Bưu cục VP Bưu điện TT Thuận Hóa - Phú Xuân</v>
          </cell>
          <cell r="F31" t="str">
            <v>Văn phòng</v>
          </cell>
          <cell r="G31" t="str">
            <v>Kế toán</v>
          </cell>
          <cell r="H31" t="str">
            <v>Desktop</v>
          </cell>
          <cell r="I31" t="str">
            <v>HUE-TP-NHATHN</v>
          </cell>
          <cell r="J31" t="str">
            <v>HP Prodesk 600 G5</v>
          </cell>
          <cell r="K31">
            <v>13</v>
          </cell>
          <cell r="L31">
            <v>2020</v>
          </cell>
          <cell r="M31" t="str">
            <v>Nhanh</v>
          </cell>
          <cell r="N31" t="str">
            <v>Intel i3 9100T 3.1GHz</v>
          </cell>
          <cell r="O31" t="str">
            <v>4GB</v>
          </cell>
          <cell r="P31" t="str">
            <v>HDD 500GB</v>
          </cell>
          <cell r="Q31" t="str">
            <v>Microsoft Windows 10</v>
          </cell>
        </row>
        <row r="32">
          <cell r="A32">
            <v>531106</v>
          </cell>
          <cell r="B32">
            <v>5304</v>
          </cell>
          <cell r="C32" t="str">
            <v>Bưu điện phường Thuận Hóa</v>
          </cell>
          <cell r="D32" t="str">
            <v>Bưu điện KV Thuận Hóa - Phú Xuân</v>
          </cell>
          <cell r="E32" t="str">
            <v>Bưu cục VP Bưu điện TT Thuận Hóa - Phú Xuân</v>
          </cell>
          <cell r="F32" t="str">
            <v>Văn phòng</v>
          </cell>
          <cell r="G32" t="str">
            <v>Kế toán</v>
          </cell>
          <cell r="H32" t="str">
            <v>Desktop</v>
          </cell>
          <cell r="I32" t="str">
            <v>HUE-TP-DONGTD</v>
          </cell>
          <cell r="J32" t="str">
            <v>Lắp ráp ĐNA</v>
          </cell>
          <cell r="K32">
            <v>13</v>
          </cell>
          <cell r="L32">
            <v>2019</v>
          </cell>
          <cell r="M32" t="str">
            <v>Chậm</v>
          </cell>
          <cell r="N32" t="str">
            <v>Intel G4400 3.3GHz</v>
          </cell>
          <cell r="O32" t="str">
            <v>4GB</v>
          </cell>
          <cell r="P32" t="str">
            <v>SSD 240GB</v>
          </cell>
          <cell r="Q32" t="str">
            <v>Microsoft Windows 10</v>
          </cell>
        </row>
        <row r="33">
          <cell r="A33">
            <v>531106</v>
          </cell>
          <cell r="B33">
            <v>5304</v>
          </cell>
          <cell r="C33" t="str">
            <v>Bưu điện phường Thuận Hóa</v>
          </cell>
          <cell r="D33" t="str">
            <v>Bưu điện KV Thuận Hóa - Phú Xuân</v>
          </cell>
          <cell r="E33" t="str">
            <v>Bưu cục VP Bưu điện TT Thuận Hóa - Phú Xuân</v>
          </cell>
          <cell r="F33" t="str">
            <v>Văn phòng</v>
          </cell>
          <cell r="G33" t="str">
            <v>Kế toán</v>
          </cell>
          <cell r="H33" t="str">
            <v>Desktop</v>
          </cell>
          <cell r="I33" t="str">
            <v>HUE-TP-HOAINT</v>
          </cell>
          <cell r="J33" t="str">
            <v>Lắp ráp ĐNA</v>
          </cell>
          <cell r="K33">
            <v>13</v>
          </cell>
          <cell r="L33">
            <v>2019</v>
          </cell>
          <cell r="M33" t="str">
            <v>Đáp ứng</v>
          </cell>
          <cell r="N33" t="str">
            <v>Intel G4400 3.3GHz</v>
          </cell>
          <cell r="O33" t="str">
            <v>4GB</v>
          </cell>
          <cell r="P33" t="str">
            <v>SSD 120GB</v>
          </cell>
          <cell r="Q33" t="str">
            <v>Microsoft Windows 10</v>
          </cell>
        </row>
        <row r="34">
          <cell r="A34">
            <v>531106</v>
          </cell>
          <cell r="B34">
            <v>5304</v>
          </cell>
          <cell r="C34" t="str">
            <v>Bưu điện phường Thuận Hóa</v>
          </cell>
          <cell r="D34" t="str">
            <v>Bưu điện KV Thuận Hóa - Phú Xuân</v>
          </cell>
          <cell r="E34" t="str">
            <v>Bưu cục VP Bưu điện TT Thuận Hóa - Phú Xuân</v>
          </cell>
          <cell r="F34" t="str">
            <v>Văn phòng</v>
          </cell>
          <cell r="G34" t="str">
            <v>Kế toán</v>
          </cell>
          <cell r="H34" t="str">
            <v>Desktop</v>
          </cell>
          <cell r="I34" t="str">
            <v>HUE-TP-MINHNH</v>
          </cell>
          <cell r="J34" t="str">
            <v>Lắp ráp ĐNA</v>
          </cell>
          <cell r="K34">
            <v>13</v>
          </cell>
          <cell r="L34">
            <v>2021</v>
          </cell>
          <cell r="M34" t="str">
            <v>Đáp ứng</v>
          </cell>
          <cell r="N34" t="str">
            <v>Intel G4900 3.1GHz</v>
          </cell>
          <cell r="O34" t="str">
            <v>4GB</v>
          </cell>
          <cell r="P34" t="str">
            <v>SSD 120GB</v>
          </cell>
          <cell r="Q34" t="str">
            <v>Microsoft Windows 10</v>
          </cell>
        </row>
        <row r="35">
          <cell r="A35">
            <v>531106</v>
          </cell>
          <cell r="B35">
            <v>5304</v>
          </cell>
          <cell r="C35" t="str">
            <v>Bưu điện phường Thuận Hóa</v>
          </cell>
          <cell r="D35" t="str">
            <v>Bưu điện KV Thuận Hóa - Phú Xuân</v>
          </cell>
          <cell r="E35" t="str">
            <v>Bưu cục VP Bưu điện TT Thuận Hóa - Phú Xuân</v>
          </cell>
          <cell r="F35" t="str">
            <v>Văn phòng</v>
          </cell>
          <cell r="G35" t="str">
            <v>Kế toán</v>
          </cell>
          <cell r="H35" t="str">
            <v>Desktop</v>
          </cell>
          <cell r="I35" t="str">
            <v>HUE-TP-NHAPGH</v>
          </cell>
          <cell r="J35" t="str">
            <v>Lắp ráp ĐNA</v>
          </cell>
          <cell r="K35">
            <v>13</v>
          </cell>
          <cell r="L35">
            <v>2016</v>
          </cell>
          <cell r="M35" t="str">
            <v>Không đáp ứng cần nâng cấp</v>
          </cell>
          <cell r="N35" t="str">
            <v>Intel E5700 3.0GHz</v>
          </cell>
          <cell r="O35" t="str">
            <v>4GB</v>
          </cell>
          <cell r="P35" t="str">
            <v>SSD 120GB</v>
          </cell>
          <cell r="Q35" t="str">
            <v>Microsoft Windows 10</v>
          </cell>
        </row>
        <row r="36">
          <cell r="A36">
            <v>531106</v>
          </cell>
          <cell r="B36">
            <v>5304</v>
          </cell>
          <cell r="C36" t="str">
            <v>Bưu điện phường Thuận Hóa</v>
          </cell>
          <cell r="D36" t="str">
            <v>Bưu điện KV Thuận Hóa - Phú Xuân</v>
          </cell>
          <cell r="E36" t="str">
            <v>Bưu cục VP Bưu điện TT Thuận Hóa - Phú Xuân</v>
          </cell>
          <cell r="F36" t="str">
            <v>Văn phòng</v>
          </cell>
          <cell r="G36" t="str">
            <v>Kế toán</v>
          </cell>
          <cell r="H36" t="str">
            <v>Desktop</v>
          </cell>
          <cell r="I36" t="str">
            <v>HUE-TP-MINBT</v>
          </cell>
          <cell r="J36" t="str">
            <v>Lắp ráp ĐNA</v>
          </cell>
          <cell r="K36">
            <v>12</v>
          </cell>
          <cell r="L36">
            <v>2022</v>
          </cell>
          <cell r="M36" t="str">
            <v>Đáp ứng</v>
          </cell>
          <cell r="N36" t="str">
            <v>Intel G6405 4.1GHz</v>
          </cell>
          <cell r="O36" t="str">
            <v>4GB</v>
          </cell>
          <cell r="P36" t="str">
            <v>SSD 120GB</v>
          </cell>
          <cell r="Q36" t="str">
            <v>Microsoft Windows 10</v>
          </cell>
        </row>
        <row r="37">
          <cell r="A37">
            <v>531106</v>
          </cell>
          <cell r="B37">
            <v>5304</v>
          </cell>
          <cell r="C37" t="str">
            <v>Bưu điện phường Thuận Hóa</v>
          </cell>
          <cell r="D37" t="str">
            <v>Bưu điện KV Thuận Hóa - Phú Xuân</v>
          </cell>
          <cell r="E37" t="str">
            <v>Bưu cục VP Bưu điện TT Thuận Hóa - Phú Xuân</v>
          </cell>
          <cell r="F37" t="str">
            <v>Văn phòng</v>
          </cell>
          <cell r="G37" t="str">
            <v>Kế toán</v>
          </cell>
          <cell r="H37" t="str">
            <v>Desktop</v>
          </cell>
          <cell r="I37" t="str">
            <v>HUE-TCKH-THUHT</v>
          </cell>
          <cell r="J37" t="str">
            <v>Lắp ráp ĐNA</v>
          </cell>
          <cell r="K37">
            <v>14</v>
          </cell>
          <cell r="L37">
            <v>2022</v>
          </cell>
          <cell r="M37" t="str">
            <v>Đáp ứng</v>
          </cell>
          <cell r="N37" t="str">
            <v>Intel G6405 4.1GHz</v>
          </cell>
          <cell r="O37" t="str">
            <v>8GB</v>
          </cell>
          <cell r="P37" t="str">
            <v>SSD 240GB</v>
          </cell>
          <cell r="Q37" t="str">
            <v>Microsoft Windows 10</v>
          </cell>
        </row>
        <row r="38">
          <cell r="A38">
            <v>531106</v>
          </cell>
          <cell r="B38">
            <v>5304</v>
          </cell>
          <cell r="C38" t="str">
            <v>Bưu điện phường Thuận Hóa</v>
          </cell>
          <cell r="D38" t="str">
            <v>Bưu điện KV Thuận Hóa - Phú Xuân</v>
          </cell>
          <cell r="E38" t="str">
            <v>Bưu cục VP Bưu điện TT Thuận Hóa - Phú Xuân</v>
          </cell>
          <cell r="F38" t="str">
            <v>Văn phòng</v>
          </cell>
          <cell r="G38" t="str">
            <v>Kinh doanh</v>
          </cell>
          <cell r="H38" t="str">
            <v>Desktop</v>
          </cell>
          <cell r="I38" t="str">
            <v>HUE-TP-DUONGVT</v>
          </cell>
          <cell r="J38" t="str">
            <v>Lắp ráp ĐNA</v>
          </cell>
          <cell r="K38">
            <v>14</v>
          </cell>
          <cell r="L38">
            <v>2019</v>
          </cell>
          <cell r="M38" t="str">
            <v>Chậm</v>
          </cell>
          <cell r="N38" t="str">
            <v>Intel G4400 3.3GHz</v>
          </cell>
          <cell r="O38" t="str">
            <v>4GB</v>
          </cell>
          <cell r="P38" t="str">
            <v>HDD 500GB</v>
          </cell>
          <cell r="Q38" t="str">
            <v>Microsoft Windows 7</v>
          </cell>
        </row>
        <row r="39">
          <cell r="A39">
            <v>531106</v>
          </cell>
          <cell r="B39">
            <v>5304</v>
          </cell>
          <cell r="C39" t="str">
            <v>Bưu điện phường Thuận Hóa</v>
          </cell>
          <cell r="D39" t="str">
            <v>Bưu điện KV Thuận Hóa - Phú Xuân</v>
          </cell>
          <cell r="E39" t="str">
            <v>Bưu cục VP Bưu điện TT Thuận Hóa - Phú Xuân</v>
          </cell>
          <cell r="F39" t="str">
            <v>Văn phòng</v>
          </cell>
          <cell r="G39" t="str">
            <v>Kinh doanh</v>
          </cell>
          <cell r="H39" t="str">
            <v>Desktop</v>
          </cell>
          <cell r="I39" t="str">
            <v>HUE-TP-NYNT</v>
          </cell>
          <cell r="J39" t="str">
            <v>Lắp ráp ĐNA</v>
          </cell>
          <cell r="K39">
            <v>11</v>
          </cell>
          <cell r="L39">
            <v>2016</v>
          </cell>
          <cell r="M39" t="str">
            <v>Không đáp ứng cần nâng cấp</v>
          </cell>
          <cell r="N39" t="str">
            <v>Intel G3260 3.3GHz</v>
          </cell>
          <cell r="O39" t="str">
            <v>4GB</v>
          </cell>
          <cell r="P39" t="str">
            <v>HDD 500GB</v>
          </cell>
          <cell r="Q39" t="str">
            <v>Microsoft Windows 10</v>
          </cell>
        </row>
        <row r="40">
          <cell r="A40">
            <v>531106</v>
          </cell>
          <cell r="B40">
            <v>5304</v>
          </cell>
          <cell r="C40" t="str">
            <v>Bưu điện phường Thuận Hóa</v>
          </cell>
          <cell r="D40" t="str">
            <v>Bưu điện KV Thuận Hóa - Phú Xuân</v>
          </cell>
          <cell r="E40" t="str">
            <v>Bưu cục VP Bưu điện TT Thuận Hóa - Phú Xuân</v>
          </cell>
          <cell r="F40" t="str">
            <v>Văn phòng</v>
          </cell>
          <cell r="G40" t="str">
            <v>Kinh doanh</v>
          </cell>
          <cell r="H40" t="str">
            <v>Desktop</v>
          </cell>
          <cell r="I40" t="str">
            <v>HUE-TP-THAMVT</v>
          </cell>
          <cell r="J40" t="str">
            <v>Lắp ráp ĐNA</v>
          </cell>
          <cell r="K40">
            <v>13</v>
          </cell>
          <cell r="L40">
            <v>2019</v>
          </cell>
          <cell r="M40" t="str">
            <v>Đáp ứng</v>
          </cell>
          <cell r="N40" t="str">
            <v>Intel G4400 3.3GHz</v>
          </cell>
          <cell r="O40" t="str">
            <v>4GB</v>
          </cell>
          <cell r="P40" t="str">
            <v>SSD 120GB</v>
          </cell>
          <cell r="Q40" t="str">
            <v>Microsoft Windows 10</v>
          </cell>
        </row>
        <row r="41">
          <cell r="A41">
            <v>531106</v>
          </cell>
          <cell r="B41">
            <v>5304</v>
          </cell>
          <cell r="C41" t="str">
            <v>Bưu điện phường Thuận Hóa</v>
          </cell>
          <cell r="D41" t="str">
            <v>Bưu điện KV Thuận Hóa - Phú Xuân</v>
          </cell>
          <cell r="E41" t="str">
            <v>Bưu cục VP Bưu điện TT Thuận Hóa - Phú Xuân</v>
          </cell>
          <cell r="F41" t="str">
            <v>Văn phòng</v>
          </cell>
          <cell r="G41" t="str">
            <v>Kỹ thuật</v>
          </cell>
          <cell r="H41" t="str">
            <v>Desktop</v>
          </cell>
          <cell r="I41" t="str">
            <v>HUE-TP-NGUYENDB</v>
          </cell>
          <cell r="J41" t="str">
            <v>Lắp ráp ĐNA</v>
          </cell>
          <cell r="K41">
            <v>15</v>
          </cell>
          <cell r="L41">
            <v>2021</v>
          </cell>
          <cell r="M41" t="str">
            <v>Đáp ứng</v>
          </cell>
          <cell r="N41" t="str">
            <v>Intel G6405 4.1GHz</v>
          </cell>
          <cell r="O41" t="str">
            <v>4GB</v>
          </cell>
          <cell r="P41" t="str">
            <v>SSD 120GB</v>
          </cell>
          <cell r="Q41" t="str">
            <v>Microsoft Windows 10</v>
          </cell>
        </row>
        <row r="42">
          <cell r="A42">
            <v>531106</v>
          </cell>
          <cell r="B42">
            <v>5304</v>
          </cell>
          <cell r="C42" t="str">
            <v>Bưu điện phường Thuận Hóa</v>
          </cell>
          <cell r="D42" t="str">
            <v>Bưu điện KV Thuận Hóa - Phú Xuân</v>
          </cell>
          <cell r="E42" t="str">
            <v>Bưu cục VP Bưu điện TT Thuận Hóa - Phú Xuân</v>
          </cell>
          <cell r="F42" t="str">
            <v>Văn phòng</v>
          </cell>
          <cell r="G42" t="str">
            <v>Kỹ thuật</v>
          </cell>
          <cell r="H42" t="str">
            <v>Desktop</v>
          </cell>
          <cell r="I42" t="str">
            <v>HUE-TP-BCCP</v>
          </cell>
          <cell r="J42" t="str">
            <v>Lắp ráp ĐNA</v>
          </cell>
          <cell r="K42">
            <v>11</v>
          </cell>
          <cell r="L42">
            <v>2019</v>
          </cell>
          <cell r="M42" t="str">
            <v>Chậm</v>
          </cell>
          <cell r="N42" t="str">
            <v>Intel G4400 3.3GHz</v>
          </cell>
          <cell r="O42" t="str">
            <v>4GB</v>
          </cell>
          <cell r="P42" t="str">
            <v>HDD 500GB</v>
          </cell>
          <cell r="Q42" t="str">
            <v>Microsoft Windows 10</v>
          </cell>
        </row>
        <row r="43">
          <cell r="A43">
            <v>531106</v>
          </cell>
          <cell r="B43">
            <v>5304</v>
          </cell>
          <cell r="C43" t="str">
            <v>Bưu điện phường Thuận Hóa</v>
          </cell>
          <cell r="D43" t="str">
            <v>Bưu điện KV Thuận Hóa - Phú Xuân</v>
          </cell>
          <cell r="E43" t="str">
            <v>Bưu cục VP Bưu điện TT Thuận Hóa - Phú Xuân</v>
          </cell>
          <cell r="F43" t="str">
            <v>Văn phòng</v>
          </cell>
          <cell r="G43" t="str">
            <v>Thủ quỹ</v>
          </cell>
          <cell r="H43" t="str">
            <v>Desktop</v>
          </cell>
          <cell r="I43" t="str">
            <v>HUE-TP-YENNTK</v>
          </cell>
          <cell r="J43" t="str">
            <v>Lắp ráp ĐNA</v>
          </cell>
          <cell r="K43">
            <v>13</v>
          </cell>
          <cell r="L43">
            <v>2021</v>
          </cell>
          <cell r="M43" t="str">
            <v>Đáp ứng</v>
          </cell>
          <cell r="N43" t="str">
            <v>Intel G4900 3.1GHz</v>
          </cell>
          <cell r="O43" t="str">
            <v>4GB</v>
          </cell>
          <cell r="P43" t="str">
            <v>SSD 120GB</v>
          </cell>
          <cell r="Q43" t="str">
            <v>Microsoft Windows 10</v>
          </cell>
        </row>
        <row r="44">
          <cell r="A44">
            <v>531106</v>
          </cell>
          <cell r="B44">
            <v>5304</v>
          </cell>
          <cell r="C44" t="str">
            <v>Bưu điện phường Thuận Hóa</v>
          </cell>
          <cell r="D44" t="str">
            <v>Bưu điện KV Thuận Hóa - Phú Xuân</v>
          </cell>
          <cell r="E44" t="str">
            <v>Bưu cục VP Bưu điện TT Thuận Hóa - Phú Xuân</v>
          </cell>
          <cell r="F44" t="str">
            <v>Văn phòng</v>
          </cell>
          <cell r="G44" t="str">
            <v>Tôn Nữ Kiều Nga</v>
          </cell>
          <cell r="H44" t="str">
            <v>Desktop</v>
          </cell>
          <cell r="I44" t="str">
            <v>HUE-TP-NGATNK</v>
          </cell>
          <cell r="J44" t="str">
            <v>Dell Optiplex 3020</v>
          </cell>
          <cell r="K44">
            <v>13</v>
          </cell>
          <cell r="L44">
            <v>2016</v>
          </cell>
          <cell r="M44" t="str">
            <v>Không đáp ứng cần nâng cấp</v>
          </cell>
          <cell r="N44" t="str">
            <v>Intel i3 4150T 3.1GHz</v>
          </cell>
          <cell r="O44" t="str">
            <v>4GB</v>
          </cell>
          <cell r="P44" t="str">
            <v>SSD 240GB</v>
          </cell>
          <cell r="Q44" t="str">
            <v>Microsoft Windows 10</v>
          </cell>
        </row>
        <row r="45">
          <cell r="A45">
            <v>531106</v>
          </cell>
          <cell r="B45">
            <v>5304</v>
          </cell>
          <cell r="C45" t="str">
            <v>Bưu điện phường Thuận Hóa</v>
          </cell>
          <cell r="D45" t="str">
            <v>Bưu điện KV Thuận Hóa - Phú Xuân</v>
          </cell>
          <cell r="E45" t="str">
            <v>Bưu cục VP Bưu điện TT Thuận Hóa - Phú Xuân</v>
          </cell>
          <cell r="F45" t="str">
            <v>Văn phòng</v>
          </cell>
          <cell r="G45" t="str">
            <v>Trần Quang Long</v>
          </cell>
          <cell r="H45" t="str">
            <v>Desktop</v>
          </cell>
          <cell r="I45" t="str">
            <v>HUE-TP-LONGTQ</v>
          </cell>
          <cell r="J45" t="str">
            <v>Lắp ráp ĐNA</v>
          </cell>
          <cell r="K45">
            <v>13</v>
          </cell>
          <cell r="L45">
            <v>2016</v>
          </cell>
          <cell r="M45" t="str">
            <v>Chậm</v>
          </cell>
          <cell r="N45" t="str">
            <v>Intel G645 2.9GHz</v>
          </cell>
          <cell r="O45" t="str">
            <v>4GB</v>
          </cell>
          <cell r="P45" t="str">
            <v>HDD 500GB</v>
          </cell>
          <cell r="Q45" t="str">
            <v>Microsoft Windows 7</v>
          </cell>
        </row>
        <row r="46">
          <cell r="A46">
            <v>530000</v>
          </cell>
          <cell r="B46">
            <v>5304</v>
          </cell>
          <cell r="C46" t="str">
            <v>Bưu điện phường Thuận Hóa</v>
          </cell>
          <cell r="D46" t="str">
            <v>Bưu điện KV Thuận Hóa - Phú Xuân</v>
          </cell>
          <cell r="E46" t="str">
            <v>Bưu cục Giao dịch Huế</v>
          </cell>
          <cell r="F46" t="str">
            <v>Bưu cục giao dịch cấp 1</v>
          </cell>
          <cell r="H46" t="str">
            <v>Desktop</v>
          </cell>
          <cell r="I46" t="str">
            <v>HUE-TP-GDTT01</v>
          </cell>
          <cell r="J46" t="str">
            <v>Dell Optiplex 3050</v>
          </cell>
          <cell r="K46">
            <v>13</v>
          </cell>
          <cell r="L46">
            <v>2018</v>
          </cell>
          <cell r="M46" t="str">
            <v>Không đáp ứng cần nâng cấp</v>
          </cell>
          <cell r="N46" t="str">
            <v>Intel i3 7100T 3.4GHz</v>
          </cell>
          <cell r="O46" t="str">
            <v>4GB</v>
          </cell>
          <cell r="P46" t="str">
            <v>SSD 250GB</v>
          </cell>
          <cell r="Q46" t="str">
            <v>Microsoft Windows 10</v>
          </cell>
        </row>
        <row r="47">
          <cell r="A47">
            <v>530000</v>
          </cell>
          <cell r="B47">
            <v>5304</v>
          </cell>
          <cell r="C47" t="str">
            <v>Bưu điện phường Thuận Hóa</v>
          </cell>
          <cell r="D47" t="str">
            <v>Bưu điện KV Thuận Hóa - Phú Xuân</v>
          </cell>
          <cell r="E47" t="str">
            <v>Bưu cục Giao dịch Huế</v>
          </cell>
          <cell r="F47" t="str">
            <v>Bưu cục giao dịch cấp 1</v>
          </cell>
          <cell r="H47" t="str">
            <v>Desktop</v>
          </cell>
          <cell r="I47" t="str">
            <v>HUE-TP-NINT</v>
          </cell>
          <cell r="J47" t="str">
            <v>Dell Optiplex 3020</v>
          </cell>
          <cell r="K47">
            <v>11</v>
          </cell>
          <cell r="L47">
            <v>2016</v>
          </cell>
          <cell r="M47" t="str">
            <v>Đáp ứng</v>
          </cell>
          <cell r="N47" t="str">
            <v>Intel i3 4160T 3.1GHz</v>
          </cell>
          <cell r="O47" t="str">
            <v>4GB</v>
          </cell>
          <cell r="P47" t="str">
            <v>SSD 120GB</v>
          </cell>
          <cell r="Q47" t="str">
            <v>Microsoft Windows 10</v>
          </cell>
        </row>
        <row r="48">
          <cell r="A48">
            <v>530000</v>
          </cell>
          <cell r="B48">
            <v>5304</v>
          </cell>
          <cell r="C48" t="str">
            <v>Bưu điện phường Thuận Hóa</v>
          </cell>
          <cell r="D48" t="str">
            <v>Bưu điện KV Thuận Hóa - Phú Xuân</v>
          </cell>
          <cell r="E48" t="str">
            <v>Bưu cục Giao dịch Huế</v>
          </cell>
          <cell r="F48" t="str">
            <v>Bưu cục giao dịch cấp 1</v>
          </cell>
          <cell r="H48" t="str">
            <v>Desktop</v>
          </cell>
          <cell r="I48" t="str">
            <v>HUE-TP-UYENPTT</v>
          </cell>
          <cell r="J48" t="str">
            <v>Dell Optiplex 3020</v>
          </cell>
          <cell r="K48">
            <v>14</v>
          </cell>
          <cell r="L48">
            <v>2016</v>
          </cell>
          <cell r="M48" t="str">
            <v>Đáp ứng</v>
          </cell>
          <cell r="N48" t="str">
            <v>Intel i3 4160T 3.1GHz</v>
          </cell>
          <cell r="O48" t="str">
            <v>4GB</v>
          </cell>
          <cell r="P48" t="str">
            <v>SSD 120GB</v>
          </cell>
          <cell r="Q48" t="str">
            <v>Microsoft Windows 10</v>
          </cell>
        </row>
        <row r="49">
          <cell r="A49">
            <v>530000</v>
          </cell>
          <cell r="B49">
            <v>5304</v>
          </cell>
          <cell r="C49" t="str">
            <v>Bưu điện phường Thuận Hóa</v>
          </cell>
          <cell r="D49" t="str">
            <v>Bưu điện KV Thuận Hóa - Phú Xuân</v>
          </cell>
          <cell r="E49" t="str">
            <v>Bưu cục Giao dịch Huế</v>
          </cell>
          <cell r="F49" t="str">
            <v>Bưu cục giao dịch cấp 1</v>
          </cell>
          <cell r="H49" t="str">
            <v>Desktop</v>
          </cell>
          <cell r="I49" t="str">
            <v>HUE-TP-GDTT04</v>
          </cell>
          <cell r="J49" t="str">
            <v>POSBANK APEXA II</v>
          </cell>
          <cell r="K49">
            <v>13</v>
          </cell>
          <cell r="L49">
            <v>2021</v>
          </cell>
          <cell r="M49" t="str">
            <v>Đáp ứng</v>
          </cell>
          <cell r="N49" t="str">
            <v>Intel J1900 2.42GHz</v>
          </cell>
          <cell r="O49" t="str">
            <v>4GB</v>
          </cell>
          <cell r="P49" t="str">
            <v>SSD 120GB</v>
          </cell>
          <cell r="Q49" t="str">
            <v>Microsoft Windows 10</v>
          </cell>
        </row>
        <row r="50">
          <cell r="A50">
            <v>530000</v>
          </cell>
          <cell r="B50">
            <v>5304</v>
          </cell>
          <cell r="C50" t="str">
            <v>Bưu điện phường Thuận Hóa</v>
          </cell>
          <cell r="D50" t="str">
            <v>Bưu điện KV Thuận Hóa - Phú Xuân</v>
          </cell>
          <cell r="E50" t="str">
            <v>Bưu cục Giao dịch Huế</v>
          </cell>
          <cell r="F50" t="str">
            <v>Bưu cục giao dịch cấp 1</v>
          </cell>
          <cell r="H50" t="str">
            <v>Desktop</v>
          </cell>
          <cell r="I50" t="str">
            <v>HUE-TP-GDTT05</v>
          </cell>
          <cell r="J50" t="str">
            <v>POSBANK APEXA II</v>
          </cell>
          <cell r="K50">
            <v>13</v>
          </cell>
          <cell r="L50">
            <v>2021</v>
          </cell>
          <cell r="M50" t="str">
            <v>Đáp ứng</v>
          </cell>
          <cell r="N50" t="str">
            <v>Intel J1900 2.42GHz</v>
          </cell>
          <cell r="O50" t="str">
            <v>4GB</v>
          </cell>
          <cell r="P50" t="str">
            <v>SSD 120GB</v>
          </cell>
          <cell r="Q50" t="str">
            <v>Microsoft Windows 10</v>
          </cell>
        </row>
        <row r="51">
          <cell r="A51">
            <v>530000</v>
          </cell>
          <cell r="B51">
            <v>5304</v>
          </cell>
          <cell r="C51" t="str">
            <v>Bưu điện phường Thuận Hóa</v>
          </cell>
          <cell r="D51" t="str">
            <v>Bưu điện KV Thuận Hóa - Phú Xuân</v>
          </cell>
          <cell r="E51" t="str">
            <v>Bưu cục Giao dịch Huế</v>
          </cell>
          <cell r="F51" t="str">
            <v>Bưu cục giao dịch cấp 1</v>
          </cell>
          <cell r="H51" t="str">
            <v>Desktop</v>
          </cell>
          <cell r="I51" t="str">
            <v>HUE-TP-GDTT06</v>
          </cell>
          <cell r="J51" t="str">
            <v>POSBANK APEXA II</v>
          </cell>
          <cell r="K51">
            <v>13</v>
          </cell>
          <cell r="L51">
            <v>2021</v>
          </cell>
          <cell r="M51" t="str">
            <v>Đáp ứng</v>
          </cell>
          <cell r="N51" t="str">
            <v>Intel J1900 2.42GHz</v>
          </cell>
          <cell r="O51" t="str">
            <v>4GB</v>
          </cell>
          <cell r="P51" t="str">
            <v>SSD 120GB</v>
          </cell>
          <cell r="Q51" t="str">
            <v>Microsoft Windows 10</v>
          </cell>
        </row>
        <row r="52">
          <cell r="A52">
            <v>530000</v>
          </cell>
          <cell r="B52">
            <v>5304</v>
          </cell>
          <cell r="C52" t="str">
            <v>Bưu điện phường Thuận Hóa</v>
          </cell>
          <cell r="D52" t="str">
            <v>Bưu điện KV Thuận Hóa - Phú Xuân</v>
          </cell>
          <cell r="E52" t="str">
            <v>Bưu cục Giao dịch Huế</v>
          </cell>
          <cell r="F52" t="str">
            <v>Bưu cục giao dịch cấp 1</v>
          </cell>
          <cell r="H52" t="str">
            <v>Desktop</v>
          </cell>
          <cell r="I52" t="str">
            <v>HUE-TP-GDTT02</v>
          </cell>
          <cell r="J52" t="str">
            <v>POSBANK APEXA II</v>
          </cell>
          <cell r="K52">
            <v>13</v>
          </cell>
          <cell r="L52">
            <v>2021</v>
          </cell>
          <cell r="M52" t="str">
            <v>Đáp ứng</v>
          </cell>
          <cell r="N52" t="str">
            <v>Intel J1900 2.42GHz</v>
          </cell>
          <cell r="O52" t="str">
            <v>4GB</v>
          </cell>
          <cell r="P52" t="str">
            <v>SSD 120GB</v>
          </cell>
          <cell r="Q52" t="str">
            <v>Microsoft Windows 10</v>
          </cell>
        </row>
        <row r="53">
          <cell r="A53">
            <v>530000</v>
          </cell>
          <cell r="B53">
            <v>5304</v>
          </cell>
          <cell r="C53" t="str">
            <v>Bưu điện phường Thuận Hóa</v>
          </cell>
          <cell r="D53" t="str">
            <v>Bưu điện KV Thuận Hóa - Phú Xuân</v>
          </cell>
          <cell r="E53" t="str">
            <v>Bưu cục Giao dịch Huế</v>
          </cell>
          <cell r="F53" t="str">
            <v>Bưu cục giao dịch cấp 1</v>
          </cell>
          <cell r="H53" t="str">
            <v>Desktop</v>
          </cell>
          <cell r="I53" t="str">
            <v>HUE-TP-GDTT03</v>
          </cell>
          <cell r="J53" t="str">
            <v>POSBANK APEXA II</v>
          </cell>
          <cell r="K53">
            <v>13</v>
          </cell>
          <cell r="L53">
            <v>2021</v>
          </cell>
          <cell r="M53" t="str">
            <v>Đáp ứng</v>
          </cell>
          <cell r="N53" t="str">
            <v>Intel J1900 2.42GHz</v>
          </cell>
          <cell r="O53" t="str">
            <v>4GB</v>
          </cell>
          <cell r="P53" t="str">
            <v>SSD 120GB</v>
          </cell>
          <cell r="Q53" t="str">
            <v>Microsoft Windows 10</v>
          </cell>
        </row>
        <row r="54">
          <cell r="A54">
            <v>530000</v>
          </cell>
          <cell r="B54">
            <v>5304</v>
          </cell>
          <cell r="C54" t="str">
            <v>Bưu điện phường Thuận Hóa</v>
          </cell>
          <cell r="D54" t="str">
            <v>Bưu điện KV Thuận Hóa - Phú Xuân</v>
          </cell>
          <cell r="E54" t="str">
            <v>Bưu cục Giao dịch Huế</v>
          </cell>
          <cell r="F54" t="str">
            <v>Bưu cục giao dịch cấp 1</v>
          </cell>
          <cell r="H54" t="str">
            <v>Desktop</v>
          </cell>
          <cell r="I54" t="str">
            <v>HUE-TP-GDTT07</v>
          </cell>
          <cell r="J54" t="str">
            <v>POSBANK APEXA II</v>
          </cell>
          <cell r="K54">
            <v>13</v>
          </cell>
          <cell r="L54">
            <v>2021</v>
          </cell>
          <cell r="M54" t="str">
            <v>Đáp ứng</v>
          </cell>
          <cell r="N54" t="str">
            <v>Intel J1900 2.42GHz</v>
          </cell>
          <cell r="O54" t="str">
            <v>4GB</v>
          </cell>
          <cell r="P54" t="str">
            <v>SSD 120GB</v>
          </cell>
          <cell r="Q54" t="str">
            <v>Microsoft Windows 10</v>
          </cell>
        </row>
        <row r="55">
          <cell r="A55">
            <v>530000</v>
          </cell>
          <cell r="B55">
            <v>5304</v>
          </cell>
          <cell r="C55" t="str">
            <v>Bưu điện phường Thuận Hóa</v>
          </cell>
          <cell r="D55" t="str">
            <v>Bưu điện KV Thuận Hóa - Phú Xuân</v>
          </cell>
          <cell r="E55" t="str">
            <v>Bưu cục Giao dịch Huế</v>
          </cell>
          <cell r="F55" t="str">
            <v>Bưu cục giao dịch cấp 1</v>
          </cell>
          <cell r="H55" t="str">
            <v>Desktop</v>
          </cell>
          <cell r="I55" t="str">
            <v>HUE-TP-GDTT08</v>
          </cell>
          <cell r="J55" t="str">
            <v>POSBANK APEXA II</v>
          </cell>
          <cell r="K55">
            <v>13</v>
          </cell>
          <cell r="L55">
            <v>2021</v>
          </cell>
          <cell r="M55" t="str">
            <v>Đáp ứng</v>
          </cell>
          <cell r="N55" t="str">
            <v>Intel J1900 2.42GHz</v>
          </cell>
          <cell r="O55" t="str">
            <v>4GB</v>
          </cell>
          <cell r="P55" t="str">
            <v>SSD 120GB</v>
          </cell>
          <cell r="Q55" t="str">
            <v>Microsoft Windows 10</v>
          </cell>
        </row>
        <row r="56">
          <cell r="A56">
            <v>530000</v>
          </cell>
          <cell r="B56">
            <v>5304</v>
          </cell>
          <cell r="C56" t="str">
            <v>Bưu điện phường Thuận Hóa</v>
          </cell>
          <cell r="D56" t="str">
            <v>Bưu điện KV Thuận Hóa - Phú Xuân</v>
          </cell>
          <cell r="E56" t="str">
            <v>Bưu cục Giao dịch Huế</v>
          </cell>
          <cell r="F56" t="str">
            <v>Bưu cục giao dịch cấp 1</v>
          </cell>
          <cell r="H56" t="str">
            <v>Desktop</v>
          </cell>
          <cell r="I56" t="str">
            <v>HUE-TP-CCCD</v>
          </cell>
          <cell r="J56" t="str">
            <v>Lắp ráp ĐNA</v>
          </cell>
          <cell r="K56">
            <v>11</v>
          </cell>
          <cell r="M56" t="str">
            <v>Không đáp ứng cần nâng cấp</v>
          </cell>
          <cell r="N56" t="str">
            <v>Intel G4400 3.3GHz</v>
          </cell>
          <cell r="O56" t="str">
            <v>4GB</v>
          </cell>
          <cell r="P56" t="str">
            <v>HDD 500GB</v>
          </cell>
          <cell r="Q56" t="str">
            <v>Microsoft Windows 10</v>
          </cell>
        </row>
        <row r="57">
          <cell r="A57">
            <v>531110</v>
          </cell>
          <cell r="B57">
            <v>5304</v>
          </cell>
          <cell r="C57" t="str">
            <v>Bưu điện phường Thuận Hóa</v>
          </cell>
          <cell r="D57" t="str">
            <v>Bưu điện KV Thuận Hóa - Phú Xuân</v>
          </cell>
          <cell r="E57" t="str">
            <v>Bưu cục Trung tâm Hành chính công</v>
          </cell>
          <cell r="F57" t="str">
            <v>Bưu cục giao dịch cấp 3</v>
          </cell>
          <cell r="H57" t="str">
            <v>Desktop</v>
          </cell>
          <cell r="I57" t="str">
            <v>HUE-TP-TTHCC02</v>
          </cell>
          <cell r="J57" t="str">
            <v>Vostro 3668</v>
          </cell>
          <cell r="K57">
            <v>14</v>
          </cell>
          <cell r="L57">
            <v>2017</v>
          </cell>
          <cell r="M57" t="str">
            <v>Đáp ứng</v>
          </cell>
          <cell r="N57" t="str">
            <v>Intel i3-7100 3.9GHz</v>
          </cell>
          <cell r="O57" t="str">
            <v>4GB</v>
          </cell>
          <cell r="P57" t="str">
            <v>SSD 120GB</v>
          </cell>
          <cell r="Q57" t="str">
            <v>Microsoft Windows 10</v>
          </cell>
        </row>
        <row r="58">
          <cell r="A58">
            <v>531110</v>
          </cell>
          <cell r="B58">
            <v>5304</v>
          </cell>
          <cell r="C58" t="str">
            <v>Bưu điện phường Thuận Hóa</v>
          </cell>
          <cell r="D58" t="str">
            <v>Bưu điện KV Thuận Hóa - Phú Xuân</v>
          </cell>
          <cell r="E58" t="str">
            <v>Bưu cục Trung tâm Hành chính công</v>
          </cell>
          <cell r="F58" t="str">
            <v>Bưu cục giao dịch cấp 3</v>
          </cell>
          <cell r="H58" t="str">
            <v>Desktop</v>
          </cell>
          <cell r="I58" t="str">
            <v>HUE-TP-TTHCC01</v>
          </cell>
          <cell r="J58" t="str">
            <v>Vostro 3668</v>
          </cell>
          <cell r="K58">
            <v>14</v>
          </cell>
          <cell r="L58">
            <v>2017</v>
          </cell>
          <cell r="M58" t="str">
            <v>Đáp ứng</v>
          </cell>
          <cell r="N58" t="str">
            <v>Intel i3-7100 3.9GHz</v>
          </cell>
          <cell r="O58" t="str">
            <v>4GB</v>
          </cell>
          <cell r="P58" t="str">
            <v>SSD 120GB</v>
          </cell>
          <cell r="Q58" t="str">
            <v>Microsoft Windows 10</v>
          </cell>
        </row>
        <row r="59">
          <cell r="A59">
            <v>533810</v>
          </cell>
          <cell r="B59">
            <v>5305</v>
          </cell>
          <cell r="C59" t="str">
            <v>Bưu điện phường An Cựu</v>
          </cell>
          <cell r="D59" t="str">
            <v>Bưu điện KV Thuận Hóa - Phú Xuân</v>
          </cell>
          <cell r="E59" t="str">
            <v>Bưu điện VHX Thuỷ An</v>
          </cell>
          <cell r="F59" t="str">
            <v>Bưu điện VHX</v>
          </cell>
          <cell r="H59" t="str">
            <v>Desktop</v>
          </cell>
          <cell r="I59" t="str">
            <v>HUE-TP-TAN1</v>
          </cell>
          <cell r="J59" t="str">
            <v>Lắp ráp ĐNA</v>
          </cell>
          <cell r="K59">
            <v>11</v>
          </cell>
          <cell r="L59">
            <v>2019</v>
          </cell>
          <cell r="M59" t="str">
            <v>Đáp ứng</v>
          </cell>
          <cell r="N59" t="str">
            <v>Intel G4400 3.3GHz</v>
          </cell>
          <cell r="O59" t="str">
            <v>4GB</v>
          </cell>
          <cell r="P59" t="str">
            <v>SSD 120GB</v>
          </cell>
          <cell r="Q59" t="str">
            <v>Microsoft Windows 10</v>
          </cell>
        </row>
        <row r="60">
          <cell r="A60">
            <v>533810</v>
          </cell>
          <cell r="B60">
            <v>5305</v>
          </cell>
          <cell r="C60" t="str">
            <v>Bưu điện phường An Cựu</v>
          </cell>
          <cell r="D60" t="str">
            <v>Bưu điện KV Thuận Hóa - Phú Xuân</v>
          </cell>
          <cell r="E60" t="str">
            <v>Bưu điện VHX Thuỷ An</v>
          </cell>
          <cell r="F60" t="str">
            <v>Bưu điện VHX</v>
          </cell>
          <cell r="H60" t="str">
            <v>Desktop</v>
          </cell>
          <cell r="I60" t="str">
            <v>HUE-TP-TAN2</v>
          </cell>
          <cell r="J60" t="str">
            <v>Dell Optiplex 3040</v>
          </cell>
          <cell r="K60">
            <v>11</v>
          </cell>
          <cell r="L60">
            <v>2018</v>
          </cell>
          <cell r="M60" t="str">
            <v>Đáp ứng</v>
          </cell>
          <cell r="N60" t="str">
            <v>Intel i3-6100 3.20GHz</v>
          </cell>
          <cell r="O60" t="str">
            <v>4GB</v>
          </cell>
          <cell r="P60" t="str">
            <v>SSD 120GB</v>
          </cell>
          <cell r="Q60" t="str">
            <v>Microsoft Windows 10</v>
          </cell>
        </row>
        <row r="61">
          <cell r="A61">
            <v>533810</v>
          </cell>
          <cell r="B61">
            <v>5305</v>
          </cell>
          <cell r="C61" t="str">
            <v>Bưu điện phường An Cựu</v>
          </cell>
          <cell r="D61" t="str">
            <v>Bưu điện KV Thuận Hóa - Phú Xuân</v>
          </cell>
          <cell r="E61" t="str">
            <v>Bưu điện phường An Cựu</v>
          </cell>
          <cell r="F61" t="str">
            <v>BĐ xã/phường</v>
          </cell>
          <cell r="G61" t="str">
            <v>TRÀ MI</v>
          </cell>
          <cell r="H61" t="str">
            <v>Desktop</v>
          </cell>
          <cell r="I61" t="str">
            <v>HUE-ANCUU-GD</v>
          </cell>
          <cell r="K61">
            <v>12</v>
          </cell>
        </row>
        <row r="62">
          <cell r="A62">
            <v>536231</v>
          </cell>
          <cell r="B62">
            <v>5306</v>
          </cell>
          <cell r="C62" t="str">
            <v>Bưu điện phường Thủy Xuân</v>
          </cell>
          <cell r="D62" t="str">
            <v>Bưu điện KV Thuận Hóa - Phú Xuân</v>
          </cell>
          <cell r="E62" t="str">
            <v>Bưu điện VHX Thủy Bằng</v>
          </cell>
          <cell r="F62" t="str">
            <v>Bưu điện VHX</v>
          </cell>
          <cell r="H62" t="str">
            <v>Desktop</v>
          </cell>
          <cell r="I62" t="str">
            <v>HUE-TP-TBG</v>
          </cell>
          <cell r="J62" t="str">
            <v>Lắp ráp ĐNA</v>
          </cell>
          <cell r="K62">
            <v>10</v>
          </cell>
          <cell r="L62">
            <v>2020</v>
          </cell>
          <cell r="M62" t="str">
            <v>Đáp ứng</v>
          </cell>
          <cell r="N62" t="str">
            <v>Intel G6405 4.1GHz</v>
          </cell>
          <cell r="O62" t="str">
            <v>4GB</v>
          </cell>
          <cell r="P62" t="str">
            <v>HDD 500GB</v>
          </cell>
          <cell r="Q62" t="str">
            <v>Microsoft Windows 10</v>
          </cell>
        </row>
        <row r="63">
          <cell r="A63">
            <v>533150</v>
          </cell>
          <cell r="B63">
            <v>5306</v>
          </cell>
          <cell r="C63" t="str">
            <v>Bưu điện phường Thủy Xuân</v>
          </cell>
          <cell r="D63" t="str">
            <v>Bưu điện KV Thuận Hóa - Phú Xuân</v>
          </cell>
          <cell r="E63" t="str">
            <v>Bưu điện VHX Thuỷ Biều</v>
          </cell>
          <cell r="F63" t="str">
            <v>Bưu điện VHX</v>
          </cell>
          <cell r="H63" t="str">
            <v>Desktop</v>
          </cell>
          <cell r="I63" t="str">
            <v>HUE-TP-TBU</v>
          </cell>
          <cell r="J63" t="str">
            <v>Dell Optiplex 3040</v>
          </cell>
          <cell r="K63">
            <v>10</v>
          </cell>
          <cell r="L63">
            <v>2018</v>
          </cell>
          <cell r="M63" t="str">
            <v>Không đáp ứng cần nâng cấp</v>
          </cell>
          <cell r="N63" t="str">
            <v>Intel i3-6100 3.20GHz</v>
          </cell>
          <cell r="O63" t="str">
            <v>4GB</v>
          </cell>
          <cell r="P63" t="str">
            <v>HDD 500GB</v>
          </cell>
          <cell r="Q63" t="str">
            <v>Microsoft Windows 10</v>
          </cell>
        </row>
        <row r="64">
          <cell r="A64">
            <v>533250</v>
          </cell>
          <cell r="B64">
            <v>5306</v>
          </cell>
          <cell r="C64" t="str">
            <v>Bưu điện phường Thủy Xuân</v>
          </cell>
          <cell r="D64" t="str">
            <v>Bưu điện KV Thuận Hóa - Phú Xuân</v>
          </cell>
          <cell r="E64" t="str">
            <v>Bưu điện VHX Thuỷ Xuân</v>
          </cell>
          <cell r="F64" t="str">
            <v>Bưu điện VHX</v>
          </cell>
          <cell r="H64" t="str">
            <v>Desktop</v>
          </cell>
          <cell r="I64" t="str">
            <v>HUE-TP-TXN</v>
          </cell>
          <cell r="J64" t="str">
            <v>Dell Optiplex 3020</v>
          </cell>
          <cell r="K64">
            <v>10</v>
          </cell>
          <cell r="L64">
            <v>2016</v>
          </cell>
          <cell r="M64" t="str">
            <v>Không đáp ứng cần nâng cấp</v>
          </cell>
          <cell r="N64" t="str">
            <v>Intel i3 4160T 3.1GHz</v>
          </cell>
          <cell r="O64" t="str">
            <v>4GB</v>
          </cell>
          <cell r="P64" t="str">
            <v>HDD 500GB</v>
          </cell>
          <cell r="Q64" t="str">
            <v>Microsoft Windows 10</v>
          </cell>
        </row>
        <row r="65">
          <cell r="A65">
            <v>533250</v>
          </cell>
          <cell r="B65">
            <v>5306</v>
          </cell>
          <cell r="C65" t="str">
            <v>Bưu điện phường Thủy Xuân</v>
          </cell>
          <cell r="D65" t="str">
            <v>Bưu điện KV Thuận Hóa - Phú Xuân</v>
          </cell>
          <cell r="E65" t="str">
            <v>Bưu điện phường Thủy Xuân</v>
          </cell>
          <cell r="F65" t="str">
            <v>BĐ xã/phường</v>
          </cell>
          <cell r="H65" t="str">
            <v>Desktop</v>
          </cell>
          <cell r="I65" t="str">
            <v>HUE-TXN-GD</v>
          </cell>
          <cell r="J65" t="str">
            <v>Lắp ráp ĐNA</v>
          </cell>
          <cell r="K65">
            <v>14</v>
          </cell>
          <cell r="L65">
            <v>2019</v>
          </cell>
          <cell r="M65" t="str">
            <v>Chậm</v>
          </cell>
          <cell r="N65" t="str">
            <v>Intel G4400 3.3GHz</v>
          </cell>
          <cell r="O65" t="str">
            <v>4GB</v>
          </cell>
          <cell r="P65" t="str">
            <v>HDD 500GB</v>
          </cell>
          <cell r="Q65" t="str">
            <v>Microsoft Windows 10</v>
          </cell>
        </row>
        <row r="66">
          <cell r="A66">
            <v>532760</v>
          </cell>
          <cell r="B66">
            <v>5307</v>
          </cell>
          <cell r="C66" t="str">
            <v>Bưu điện phường Kim Long</v>
          </cell>
          <cell r="D66" t="str">
            <v>Bưu điện KV Thuận Hóa - Phú Xuân</v>
          </cell>
          <cell r="E66" t="str">
            <v>Bưu cục Kim Long</v>
          </cell>
          <cell r="F66" t="str">
            <v>Bưu cục giao dịch cấp 3</v>
          </cell>
          <cell r="H66" t="str">
            <v>Desktop</v>
          </cell>
          <cell r="I66" t="str">
            <v>HUE-TP-KLG1</v>
          </cell>
          <cell r="J66" t="str">
            <v>Lắp ráp ĐNA</v>
          </cell>
          <cell r="K66">
            <v>11</v>
          </cell>
          <cell r="L66">
            <v>2019</v>
          </cell>
          <cell r="M66" t="str">
            <v>Đáp ứng</v>
          </cell>
          <cell r="N66" t="str">
            <v>Intel G4400 3.3GHz</v>
          </cell>
          <cell r="O66" t="str">
            <v>4GB</v>
          </cell>
          <cell r="P66" t="str">
            <v>SSD 120GB</v>
          </cell>
          <cell r="Q66" t="str">
            <v>Microsoft Windows 10</v>
          </cell>
        </row>
        <row r="67">
          <cell r="A67">
            <v>535550</v>
          </cell>
          <cell r="B67">
            <v>5307</v>
          </cell>
          <cell r="C67" t="str">
            <v>Bưu điện phường Kim Long</v>
          </cell>
          <cell r="D67" t="str">
            <v>Bưu điện KV Thuận Hóa - Phú Xuân</v>
          </cell>
          <cell r="E67" t="str">
            <v>Bưu điện VHX Hương Hồ</v>
          </cell>
          <cell r="F67" t="str">
            <v>Bưu điện VHX</v>
          </cell>
          <cell r="H67" t="str">
            <v>Desktop</v>
          </cell>
          <cell r="I67" t="str">
            <v>HUE-TP-HHO</v>
          </cell>
          <cell r="J67" t="str">
            <v>Dell Optiplex 5060</v>
          </cell>
          <cell r="K67">
            <v>10</v>
          </cell>
          <cell r="L67">
            <v>2019</v>
          </cell>
          <cell r="M67" t="str">
            <v>Không đáp ứng cần nâng cấp</v>
          </cell>
          <cell r="N67" t="str">
            <v>Intel i3-8100 3.20GHz</v>
          </cell>
          <cell r="O67" t="str">
            <v>4GB</v>
          </cell>
          <cell r="P67" t="str">
            <v>HDD 500GB</v>
          </cell>
          <cell r="Q67" t="str">
            <v>Microsoft Windows 10</v>
          </cell>
        </row>
        <row r="68">
          <cell r="A68">
            <v>532920</v>
          </cell>
          <cell r="B68">
            <v>5307</v>
          </cell>
          <cell r="C68" t="str">
            <v>Bưu điện phường Kim Long</v>
          </cell>
          <cell r="D68" t="str">
            <v>Bưu điện KV Thuận Hóa - Phú Xuân</v>
          </cell>
          <cell r="E68" t="str">
            <v>Bưu điện VHX Hương Long</v>
          </cell>
          <cell r="F68" t="str">
            <v>Bưu điện VHX</v>
          </cell>
          <cell r="H68" t="str">
            <v>Desktop</v>
          </cell>
          <cell r="J68" t="str">
            <v>tạm đóng cửa</v>
          </cell>
          <cell r="K68">
            <v>0</v>
          </cell>
          <cell r="Q68" t="str">
            <v/>
          </cell>
        </row>
        <row r="69">
          <cell r="A69">
            <v>535570</v>
          </cell>
          <cell r="B69">
            <v>5307</v>
          </cell>
          <cell r="C69" t="str">
            <v>Bưu điện phường Kim Long</v>
          </cell>
          <cell r="D69" t="str">
            <v>Bưu điện KV Thuận Hóa - Phú Xuân</v>
          </cell>
          <cell r="E69" t="str">
            <v>Bưu điện VHX Hương Thọ</v>
          </cell>
          <cell r="F69" t="str">
            <v>Bưu điện VHX</v>
          </cell>
          <cell r="H69" t="str">
            <v>Desktop</v>
          </cell>
          <cell r="I69" t="str">
            <v>HUE-TP-HTO</v>
          </cell>
          <cell r="J69" t="str">
            <v>Dell Optiplex 3020</v>
          </cell>
          <cell r="K69">
            <v>10</v>
          </cell>
          <cell r="L69">
            <v>2016</v>
          </cell>
          <cell r="M69" t="str">
            <v>Không đáp ứng cần nâng cấp</v>
          </cell>
          <cell r="N69" t="str">
            <v>Intel i3 4160T 3.1GHz</v>
          </cell>
          <cell r="O69" t="str">
            <v>4GB</v>
          </cell>
          <cell r="P69" t="str">
            <v>HDD 500GB</v>
          </cell>
          <cell r="Q69" t="str">
            <v>Microsoft Windows 10</v>
          </cell>
        </row>
        <row r="70">
          <cell r="A70">
            <v>532760</v>
          </cell>
          <cell r="B70">
            <v>5307</v>
          </cell>
          <cell r="C70" t="str">
            <v>Bưu điện phường Kim Long</v>
          </cell>
          <cell r="D70" t="str">
            <v>Bưu điện KV Thuận Hóa - Phú Xuân</v>
          </cell>
          <cell r="E70" t="str">
            <v>Bưu điện phường Kim Long</v>
          </cell>
          <cell r="F70" t="str">
            <v>BĐ xã/phường</v>
          </cell>
          <cell r="H70" t="str">
            <v>Desktop</v>
          </cell>
          <cell r="I70" t="str">
            <v>HUE-KLG-GD</v>
          </cell>
          <cell r="K70">
            <v>10</v>
          </cell>
        </row>
        <row r="71">
          <cell r="A71">
            <v>535530</v>
          </cell>
          <cell r="B71">
            <v>5308</v>
          </cell>
          <cell r="C71" t="str">
            <v>Bưu điện phường Hương An</v>
          </cell>
          <cell r="D71" t="str">
            <v>Bưu điện KV Thuận Hóa - Phú Xuân</v>
          </cell>
          <cell r="E71" t="str">
            <v>Bưu điện phường Hương An</v>
          </cell>
          <cell r="F71" t="str">
            <v>BĐ xã/phường</v>
          </cell>
          <cell r="G71" t="str">
            <v>NGUYỄN ĐỨC LỘC</v>
          </cell>
          <cell r="H71" t="str">
            <v>Desktop</v>
          </cell>
          <cell r="I71" t="str">
            <v>HUE-HUONGAN</v>
          </cell>
          <cell r="J71" t="str">
            <v>Lắp ráp ĐNA</v>
          </cell>
          <cell r="K71">
            <v>11</v>
          </cell>
          <cell r="L71">
            <v>2018</v>
          </cell>
          <cell r="M71" t="str">
            <v>Đáp ứng</v>
          </cell>
          <cell r="N71" t="str">
            <v>Intel G4400 3.3GHz</v>
          </cell>
          <cell r="O71" t="str">
            <v>4GB</v>
          </cell>
          <cell r="P71" t="str">
            <v>SSD 120GB</v>
          </cell>
          <cell r="Q71" t="str">
            <v>Microsoft Windows 10</v>
          </cell>
        </row>
        <row r="72">
          <cell r="A72">
            <v>532950</v>
          </cell>
          <cell r="B72">
            <v>5308</v>
          </cell>
          <cell r="C72" t="str">
            <v>Bưu điện phường Hương An</v>
          </cell>
          <cell r="D72" t="str">
            <v>Bưu điện KV Thuận Hóa - Phú Xuân</v>
          </cell>
          <cell r="E72" t="str">
            <v>Bưu cục An Hoà</v>
          </cell>
          <cell r="F72" t="str">
            <v>Bưu cục giao dịch cấp 3</v>
          </cell>
          <cell r="H72" t="str">
            <v>Desktop</v>
          </cell>
          <cell r="Q72" t="str">
            <v/>
          </cell>
        </row>
        <row r="73">
          <cell r="A73">
            <v>532950</v>
          </cell>
          <cell r="B73">
            <v>5308</v>
          </cell>
          <cell r="C73" t="str">
            <v>Bưu điện phường Hương An</v>
          </cell>
          <cell r="D73" t="str">
            <v>Bưu điện KV Thuận Hóa - Phú Xuân</v>
          </cell>
          <cell r="E73" t="str">
            <v>Bưu cục An Hoà</v>
          </cell>
          <cell r="F73" t="str">
            <v>Bưu cục giao dịch cấp 3</v>
          </cell>
          <cell r="H73" t="str">
            <v>Desktop</v>
          </cell>
          <cell r="I73" t="str">
            <v>HUE-TP-AHA1</v>
          </cell>
          <cell r="J73" t="str">
            <v>Lắp ráp ĐNA</v>
          </cell>
          <cell r="K73">
            <v>11</v>
          </cell>
          <cell r="L73">
            <v>2021</v>
          </cell>
          <cell r="M73" t="str">
            <v>Đáp ứng</v>
          </cell>
          <cell r="N73" t="str">
            <v>Intel G4900 3.1GHz</v>
          </cell>
          <cell r="O73" t="str">
            <v>4GB</v>
          </cell>
          <cell r="P73" t="str">
            <v>SSD 120GB</v>
          </cell>
          <cell r="Q73" t="str">
            <v>Microsoft Windows 10</v>
          </cell>
        </row>
        <row r="74">
          <cell r="A74">
            <v>535530</v>
          </cell>
          <cell r="B74">
            <v>5308</v>
          </cell>
          <cell r="C74" t="str">
            <v>Bưu điện phường Hương An</v>
          </cell>
          <cell r="D74" t="str">
            <v>Bưu điện KV Thuận Hóa - Phú Xuân</v>
          </cell>
          <cell r="E74" t="str">
            <v>Bưu điện VHX Hương An</v>
          </cell>
          <cell r="F74" t="str">
            <v>Bưu điện VHX</v>
          </cell>
          <cell r="H74" t="str">
            <v>Desktop</v>
          </cell>
          <cell r="I74" t="str">
            <v>HUE-TP-HAN</v>
          </cell>
          <cell r="J74" t="str">
            <v>Dell Optiplex 3040</v>
          </cell>
          <cell r="K74">
            <v>10</v>
          </cell>
          <cell r="L74">
            <v>2018</v>
          </cell>
          <cell r="M74" t="str">
            <v>Không đáp ứng cần nâng cấp</v>
          </cell>
          <cell r="N74" t="str">
            <v>Intel i3-6100 3.20GHz</v>
          </cell>
          <cell r="O74" t="str">
            <v>4GB</v>
          </cell>
          <cell r="P74" t="str">
            <v>HDD 500GB</v>
          </cell>
          <cell r="Q74" t="str">
            <v>Microsoft Windows 10</v>
          </cell>
        </row>
        <row r="75">
          <cell r="A75">
            <v>532530</v>
          </cell>
          <cell r="B75">
            <v>5308</v>
          </cell>
          <cell r="C75" t="str">
            <v>Bưu điện phường Hương An</v>
          </cell>
          <cell r="D75" t="str">
            <v>Bưu điện KV Thuận Hóa - Phú Xuân</v>
          </cell>
          <cell r="E75" t="str">
            <v>Bưu điện VHX Hương Sơ</v>
          </cell>
          <cell r="F75" t="str">
            <v>Bưu điện VHX</v>
          </cell>
          <cell r="H75" t="str">
            <v>Desktop</v>
          </cell>
          <cell r="J75" t="str">
            <v>HP Prodesk 600 G5</v>
          </cell>
          <cell r="K75">
            <v>0</v>
          </cell>
          <cell r="L75">
            <v>2020</v>
          </cell>
          <cell r="M75" t="str">
            <v>Nhanh</v>
          </cell>
          <cell r="Q75" t="str">
            <v/>
          </cell>
        </row>
        <row r="76">
          <cell r="A76">
            <v>531130</v>
          </cell>
          <cell r="B76">
            <v>5309</v>
          </cell>
          <cell r="C76" t="str">
            <v>Văn phòng BĐTP Huế</v>
          </cell>
          <cell r="D76" t="str">
            <v>VP BĐ TP Huế</v>
          </cell>
          <cell r="E76" t="str">
            <v>VP Trung tâm Vận hành</v>
          </cell>
          <cell r="F76" t="str">
            <v>Văn phòng</v>
          </cell>
          <cell r="G76" t="str">
            <v>Bình</v>
          </cell>
          <cell r="H76" t="str">
            <v>Desktop</v>
          </cell>
          <cell r="I76" t="str">
            <v>HUE-TTVH-BINHLT</v>
          </cell>
          <cell r="J76" t="str">
            <v>Lắp ráp ĐNA</v>
          </cell>
          <cell r="K76">
            <v>15</v>
          </cell>
          <cell r="L76">
            <v>2020</v>
          </cell>
          <cell r="M76" t="str">
            <v>Đáp ứng</v>
          </cell>
          <cell r="N76" t="str">
            <v>Intel G6400 4.0Ghz</v>
          </cell>
          <cell r="O76" t="str">
            <v>8GB</v>
          </cell>
          <cell r="P76" t="str">
            <v>SSD 256GB</v>
          </cell>
          <cell r="Q76" t="str">
            <v>Microsoft Windows 10</v>
          </cell>
        </row>
        <row r="77">
          <cell r="A77">
            <v>531130</v>
          </cell>
          <cell r="B77">
            <v>5309</v>
          </cell>
          <cell r="C77" t="str">
            <v>Văn phòng BĐTP Huế</v>
          </cell>
          <cell r="D77" t="str">
            <v>VP BĐ TP Huế</v>
          </cell>
          <cell r="E77" t="str">
            <v>VP Trung tâm Vận hành</v>
          </cell>
          <cell r="F77" t="str">
            <v>Văn phòng</v>
          </cell>
          <cell r="G77" t="str">
            <v>Quốc Bảo</v>
          </cell>
          <cell r="H77" t="str">
            <v>Desktop</v>
          </cell>
          <cell r="I77" t="str">
            <v>HUE-TTVH-BAOTQ</v>
          </cell>
          <cell r="J77" t="str">
            <v>Lắp ráp ĐNA</v>
          </cell>
          <cell r="K77">
            <v>14</v>
          </cell>
          <cell r="L77">
            <v>2017</v>
          </cell>
          <cell r="M77" t="str">
            <v>Không đáp ứng cần nâng cấp</v>
          </cell>
          <cell r="N77" t="str">
            <v>Intel G2020 2.9GHz</v>
          </cell>
          <cell r="O77" t="str">
            <v>4GB</v>
          </cell>
          <cell r="P77" t="str">
            <v>HDD 500GB</v>
          </cell>
          <cell r="Q77" t="str">
            <v>Microsoft Windows 10</v>
          </cell>
        </row>
        <row r="78">
          <cell r="A78">
            <v>531130</v>
          </cell>
          <cell r="B78">
            <v>5309</v>
          </cell>
          <cell r="C78" t="str">
            <v>Văn phòng BĐTP Huế</v>
          </cell>
          <cell r="D78" t="str">
            <v>VP BĐ TP Huế</v>
          </cell>
          <cell r="E78" t="str">
            <v>TCHC</v>
          </cell>
          <cell r="F78" t="str">
            <v>Văn phòng</v>
          </cell>
          <cell r="G78" t="str">
            <v>Văn thư</v>
          </cell>
          <cell r="H78" t="str">
            <v>Desktop</v>
          </cell>
          <cell r="I78" t="str">
            <v>HUE-TCHC-VANTHU</v>
          </cell>
          <cell r="J78" t="str">
            <v>Lắp ráp ĐNA</v>
          </cell>
          <cell r="K78">
            <v>15</v>
          </cell>
          <cell r="L78">
            <v>2018</v>
          </cell>
          <cell r="M78" t="str">
            <v>Chậm</v>
          </cell>
          <cell r="N78" t="str">
            <v>Intel G3900 2.8Ghz</v>
          </cell>
          <cell r="O78" t="str">
            <v>4GB</v>
          </cell>
          <cell r="P78" t="str">
            <v>HDD 500GB</v>
          </cell>
          <cell r="Q78" t="str">
            <v>Microsoft Windows 10</v>
          </cell>
        </row>
        <row r="79">
          <cell r="A79">
            <v>531130</v>
          </cell>
          <cell r="B79">
            <v>5309</v>
          </cell>
          <cell r="C79" t="str">
            <v>Văn phòng BĐTP Huế</v>
          </cell>
          <cell r="D79" t="str">
            <v>VP BĐ TP Huế</v>
          </cell>
          <cell r="E79" t="str">
            <v>Máy chủ</v>
          </cell>
          <cell r="F79" t="str">
            <v>Văn phòng</v>
          </cell>
          <cell r="H79" t="str">
            <v>Server</v>
          </cell>
          <cell r="I79" t="str">
            <v>HUE-SYS-3129</v>
          </cell>
          <cell r="J79" t="str">
            <v>x3650 M3</v>
          </cell>
          <cell r="K79">
            <v>12</v>
          </cell>
          <cell r="L79">
            <v>2022</v>
          </cell>
          <cell r="M79" t="str">
            <v>Nhanh</v>
          </cell>
          <cell r="N79" t="str">
            <v>xeon E5620 2.4GHz</v>
          </cell>
          <cell r="O79" t="str">
            <v>32GB</v>
          </cell>
          <cell r="P79" t="str">
            <v>RAID</v>
          </cell>
          <cell r="Q79" t="str">
            <v>Windows Server 2008</v>
          </cell>
        </row>
        <row r="80">
          <cell r="A80">
            <v>531130</v>
          </cell>
          <cell r="B80">
            <v>5309</v>
          </cell>
          <cell r="C80" t="str">
            <v>Văn phòng BĐTP Huế</v>
          </cell>
          <cell r="D80" t="str">
            <v>VP BĐ TP Huế</v>
          </cell>
          <cell r="E80" t="str">
            <v>Máy chủ</v>
          </cell>
          <cell r="F80" t="str">
            <v>Văn phòng</v>
          </cell>
          <cell r="H80" t="str">
            <v>Server</v>
          </cell>
          <cell r="I80" t="str">
            <v>HUE-SYS-3130</v>
          </cell>
          <cell r="J80" t="str">
            <v>x3650 M3</v>
          </cell>
          <cell r="K80">
            <v>12</v>
          </cell>
          <cell r="L80">
            <v>2022</v>
          </cell>
          <cell r="M80" t="str">
            <v>Nhanh</v>
          </cell>
          <cell r="N80" t="str">
            <v>xeon E5620 2.4GHz</v>
          </cell>
          <cell r="O80" t="str">
            <v>24GB</v>
          </cell>
          <cell r="P80" t="str">
            <v>RAID</v>
          </cell>
          <cell r="Q80" t="str">
            <v>Windows Server 2008</v>
          </cell>
        </row>
        <row r="81">
          <cell r="A81">
            <v>531130</v>
          </cell>
          <cell r="B81">
            <v>5309</v>
          </cell>
          <cell r="C81" t="str">
            <v>Văn phòng BĐTP Huế</v>
          </cell>
          <cell r="D81" t="str">
            <v>VP BĐ TP Huế</v>
          </cell>
          <cell r="E81" t="str">
            <v>Máy chủ</v>
          </cell>
          <cell r="F81" t="str">
            <v>Văn phòng</v>
          </cell>
          <cell r="H81" t="str">
            <v>Server</v>
          </cell>
          <cell r="I81" t="str">
            <v>HUE-SYS-3106</v>
          </cell>
          <cell r="J81" t="str">
            <v>x346</v>
          </cell>
          <cell r="K81">
            <v>12</v>
          </cell>
          <cell r="L81">
            <v>2022</v>
          </cell>
          <cell r="M81" t="str">
            <v>Nhanh</v>
          </cell>
          <cell r="N81" t="str">
            <v>xeon 3.0GHz</v>
          </cell>
          <cell r="O81" t="str">
            <v>5GB</v>
          </cell>
          <cell r="P81" t="str">
            <v>RAID</v>
          </cell>
          <cell r="Q81" t="str">
            <v>Windows Server 2008</v>
          </cell>
        </row>
        <row r="82">
          <cell r="A82">
            <v>531130</v>
          </cell>
          <cell r="B82">
            <v>5309</v>
          </cell>
          <cell r="C82" t="str">
            <v>Văn phòng BĐTP Huế</v>
          </cell>
          <cell r="D82" t="str">
            <v>VP BĐ TP Huế</v>
          </cell>
          <cell r="E82" t="str">
            <v>Máy chủ</v>
          </cell>
          <cell r="F82" t="str">
            <v>Văn phòng</v>
          </cell>
          <cell r="H82" t="str">
            <v>Server</v>
          </cell>
          <cell r="I82" t="str">
            <v>HUE-SYS-3107</v>
          </cell>
          <cell r="J82" t="str">
            <v>x3650 M2</v>
          </cell>
          <cell r="K82">
            <v>12</v>
          </cell>
          <cell r="L82">
            <v>2022</v>
          </cell>
          <cell r="M82" t="str">
            <v>Nhanh</v>
          </cell>
          <cell r="N82" t="str">
            <v>xeon E5504 2.0GHz</v>
          </cell>
          <cell r="O82" t="str">
            <v>4GB</v>
          </cell>
          <cell r="P82" t="str">
            <v>RAID</v>
          </cell>
          <cell r="Q82" t="str">
            <v>Windows Server 2008</v>
          </cell>
        </row>
        <row r="83">
          <cell r="A83">
            <v>531130</v>
          </cell>
          <cell r="B83">
            <v>5309</v>
          </cell>
          <cell r="C83" t="str">
            <v>Văn phòng BĐTP Huế</v>
          </cell>
          <cell r="D83" t="str">
            <v>VP BĐ TP Huế</v>
          </cell>
          <cell r="E83" t="str">
            <v>TCHC</v>
          </cell>
          <cell r="F83" t="str">
            <v>Văn phòng</v>
          </cell>
          <cell r="G83" t="str">
            <v>Dương Văn Đức (NĐ)</v>
          </cell>
          <cell r="H83" t="str">
            <v>Desktop</v>
          </cell>
          <cell r="I83" t="str">
            <v>HUE-TCHC-DUCCD</v>
          </cell>
          <cell r="J83" t="str">
            <v>Lắp ráp ĐNA</v>
          </cell>
          <cell r="K83">
            <v>14</v>
          </cell>
          <cell r="L83">
            <v>2019</v>
          </cell>
          <cell r="M83" t="str">
            <v>Đáp ứng</v>
          </cell>
          <cell r="N83" t="str">
            <v>Intel G3260 3.3Ghz</v>
          </cell>
          <cell r="O83" t="str">
            <v>6GB</v>
          </cell>
          <cell r="P83" t="str">
            <v>SSD 120GB</v>
          </cell>
          <cell r="Q83" t="str">
            <v>Microsoft Windows 10</v>
          </cell>
        </row>
        <row r="84">
          <cell r="A84">
            <v>531130</v>
          </cell>
          <cell r="B84">
            <v>5309</v>
          </cell>
          <cell r="C84" t="str">
            <v>Văn phòng BĐTP Huế</v>
          </cell>
          <cell r="D84" t="str">
            <v>VP BĐ TP Huế</v>
          </cell>
          <cell r="E84" t="str">
            <v>BGĐ</v>
          </cell>
          <cell r="F84" t="str">
            <v>Văn phòng</v>
          </cell>
          <cell r="G84" t="str">
            <v>Mai Văn Mười</v>
          </cell>
          <cell r="H84" t="str">
            <v>Desktop</v>
          </cell>
          <cell r="I84" t="str">
            <v>HUE-BGD-MUOIMV</v>
          </cell>
          <cell r="J84" t="str">
            <v>Lắp ráp ĐNA</v>
          </cell>
          <cell r="K84">
            <v>14</v>
          </cell>
          <cell r="L84">
            <v>2018</v>
          </cell>
          <cell r="M84" t="str">
            <v>Đáp ứng</v>
          </cell>
          <cell r="N84" t="str">
            <v>Intel G5400 3.7GHz</v>
          </cell>
          <cell r="O84" t="str">
            <v>8GB</v>
          </cell>
          <cell r="P84" t="str">
            <v>SSD 120GB</v>
          </cell>
          <cell r="Q84" t="str">
            <v>Microsoft Windows 10</v>
          </cell>
        </row>
        <row r="85">
          <cell r="A85">
            <v>531130</v>
          </cell>
          <cell r="B85">
            <v>5309</v>
          </cell>
          <cell r="C85" t="str">
            <v>Văn phòng BĐTP Huế</v>
          </cell>
          <cell r="D85" t="str">
            <v>VP BĐ TP Huế</v>
          </cell>
          <cell r="E85" t="str">
            <v>TCHC</v>
          </cell>
          <cell r="F85" t="str">
            <v>Văn phòng</v>
          </cell>
          <cell r="G85" t="str">
            <v>TP HCHC</v>
          </cell>
          <cell r="H85" t="str">
            <v>Desktop</v>
          </cell>
          <cell r="I85" t="str">
            <v>HUE-TCHC-KYHV</v>
          </cell>
          <cell r="J85" t="str">
            <v>Lắp ráp ĐNA</v>
          </cell>
          <cell r="K85">
            <v>13</v>
          </cell>
          <cell r="L85">
            <v>2020</v>
          </cell>
          <cell r="M85" t="str">
            <v>Đáp ứng</v>
          </cell>
          <cell r="N85" t="str">
            <v>Intel G5400 3.7GHz</v>
          </cell>
          <cell r="O85" t="str">
            <v>4GB</v>
          </cell>
          <cell r="P85" t="str">
            <v>SSD 120GB</v>
          </cell>
          <cell r="Q85" t="str">
            <v>Microsoft Windows 10</v>
          </cell>
        </row>
        <row r="86">
          <cell r="A86">
            <v>531130</v>
          </cell>
          <cell r="B86">
            <v>5309</v>
          </cell>
          <cell r="C86" t="str">
            <v>Văn phòng BĐTP Huế</v>
          </cell>
          <cell r="D86" t="str">
            <v>VP BĐ TP Huế</v>
          </cell>
          <cell r="E86" t="str">
            <v>TCHC</v>
          </cell>
          <cell r="F86" t="str">
            <v>Văn phòng</v>
          </cell>
          <cell r="G86" t="str">
            <v>Võ Thị Thúy Hằng</v>
          </cell>
          <cell r="H86" t="str">
            <v>Desktop</v>
          </cell>
          <cell r="I86" t="str">
            <v>HUE-TCHC-HANG</v>
          </cell>
          <cell r="J86" t="str">
            <v>Lắp ráp ĐNA</v>
          </cell>
          <cell r="K86">
            <v>13</v>
          </cell>
          <cell r="L86">
            <v>2020</v>
          </cell>
          <cell r="M86" t="str">
            <v>Chậm</v>
          </cell>
          <cell r="N86" t="str">
            <v>Intel G4400 3.3GHz</v>
          </cell>
          <cell r="O86" t="str">
            <v>12GB</v>
          </cell>
          <cell r="P86" t="str">
            <v>HDD 500GB</v>
          </cell>
          <cell r="Q86" t="str">
            <v>Microsoft Windows 10</v>
          </cell>
        </row>
        <row r="87">
          <cell r="A87">
            <v>531130</v>
          </cell>
          <cell r="B87">
            <v>5309</v>
          </cell>
          <cell r="C87" t="str">
            <v>Văn phòng BĐTP Huế</v>
          </cell>
          <cell r="D87" t="str">
            <v>VP BĐ TP Huế</v>
          </cell>
          <cell r="E87" t="str">
            <v>TCHC</v>
          </cell>
          <cell r="F87" t="str">
            <v>Văn phòng</v>
          </cell>
          <cell r="G87" t="str">
            <v>Trương Khải Nguyệt</v>
          </cell>
          <cell r="H87" t="str">
            <v>Desktop</v>
          </cell>
          <cell r="I87" t="str">
            <v>HUE-TCHC-NGUYET</v>
          </cell>
          <cell r="J87" t="str">
            <v>Lắp ráp ĐNA</v>
          </cell>
          <cell r="K87">
            <v>15</v>
          </cell>
          <cell r="L87">
            <v>2016</v>
          </cell>
          <cell r="M87" t="str">
            <v>Đáp ứng</v>
          </cell>
          <cell r="N87" t="str">
            <v>Intel G4400 3.3GHz</v>
          </cell>
          <cell r="O87" t="str">
            <v>4GB</v>
          </cell>
          <cell r="P87" t="str">
            <v>HDD 500GB</v>
          </cell>
          <cell r="Q87" t="str">
            <v>Microsoft Windows 10</v>
          </cell>
        </row>
        <row r="88">
          <cell r="A88">
            <v>531130</v>
          </cell>
          <cell r="B88">
            <v>5309</v>
          </cell>
          <cell r="C88" t="str">
            <v>Văn phòng BĐTP Huế</v>
          </cell>
          <cell r="D88" t="str">
            <v>VP BĐ TP Huế</v>
          </cell>
          <cell r="E88" t="str">
            <v>TCHC</v>
          </cell>
          <cell r="F88" t="str">
            <v>Văn phòng</v>
          </cell>
          <cell r="G88" t="str">
            <v>Dương Văn Đức</v>
          </cell>
          <cell r="H88" t="str">
            <v>Desktop</v>
          </cell>
          <cell r="I88" t="str">
            <v>HUE-TCHC-DUCDV</v>
          </cell>
          <cell r="J88" t="str">
            <v>Lắp ráp ĐNA</v>
          </cell>
          <cell r="K88">
            <v>14</v>
          </cell>
          <cell r="L88">
            <v>2019</v>
          </cell>
          <cell r="M88" t="str">
            <v>Không đáp ứng cần nâng cấp</v>
          </cell>
          <cell r="N88" t="str">
            <v>Intel G3250 3.2GHz</v>
          </cell>
          <cell r="O88" t="str">
            <v>8GB</v>
          </cell>
          <cell r="P88" t="str">
            <v>SSD 250GB</v>
          </cell>
          <cell r="Q88" t="str">
            <v>Microsoft Windows 10</v>
          </cell>
        </row>
        <row r="89">
          <cell r="A89">
            <v>531130</v>
          </cell>
          <cell r="B89">
            <v>5309</v>
          </cell>
          <cell r="C89" t="str">
            <v>Văn phòng BĐTP Huế</v>
          </cell>
          <cell r="D89" t="str">
            <v>VP BĐ TP Huế</v>
          </cell>
          <cell r="E89" t="str">
            <v>TCHC</v>
          </cell>
          <cell r="F89" t="str">
            <v>Văn phòng</v>
          </cell>
          <cell r="G89" t="str">
            <v>Khánh</v>
          </cell>
          <cell r="H89" t="str">
            <v>Desktop</v>
          </cell>
          <cell r="I89" t="str">
            <v>HUE-KHKD-KHANHV</v>
          </cell>
          <cell r="J89" t="str">
            <v>Lắp ráp ĐNA</v>
          </cell>
          <cell r="K89">
            <v>15</v>
          </cell>
          <cell r="L89">
            <v>2016</v>
          </cell>
          <cell r="M89" t="str">
            <v>Đáp ứng</v>
          </cell>
          <cell r="N89" t="str">
            <v>Intel G4400 3.3GHz</v>
          </cell>
          <cell r="O89" t="str">
            <v>8GB</v>
          </cell>
          <cell r="P89" t="str">
            <v>SSD 120GB</v>
          </cell>
          <cell r="Q89" t="str">
            <v>Microsoft Windows 10</v>
          </cell>
        </row>
        <row r="90">
          <cell r="A90">
            <v>531130</v>
          </cell>
          <cell r="B90">
            <v>5309</v>
          </cell>
          <cell r="C90" t="str">
            <v>Văn phòng BĐTP Huế</v>
          </cell>
          <cell r="D90" t="str">
            <v>VP BĐ TP Huế</v>
          </cell>
          <cell r="E90" t="str">
            <v>VP Trung tâm Vận hành</v>
          </cell>
          <cell r="F90" t="str">
            <v>Văn phòng</v>
          </cell>
          <cell r="G90" t="str">
            <v>Quang Minh</v>
          </cell>
          <cell r="H90" t="str">
            <v>Desktop</v>
          </cell>
          <cell r="I90" t="str">
            <v>HUE-TTVH-MINH</v>
          </cell>
          <cell r="J90" t="str">
            <v>Lắp ráp ĐNA</v>
          </cell>
          <cell r="K90">
            <v>13</v>
          </cell>
          <cell r="L90">
            <v>2016</v>
          </cell>
          <cell r="M90" t="str">
            <v>Đáp ứng</v>
          </cell>
          <cell r="N90" t="str">
            <v>Intel G3260 3.1Ghz</v>
          </cell>
          <cell r="O90" t="str">
            <v>8GB</v>
          </cell>
          <cell r="P90" t="str">
            <v>SSD 120GB</v>
          </cell>
          <cell r="Q90" t="str">
            <v>Microsoft Windows 10</v>
          </cell>
        </row>
        <row r="91">
          <cell r="A91">
            <v>531130</v>
          </cell>
          <cell r="B91">
            <v>5309</v>
          </cell>
          <cell r="C91" t="str">
            <v>Văn phòng BĐTP Huế</v>
          </cell>
          <cell r="D91" t="str">
            <v>VP BĐ TP Huế</v>
          </cell>
          <cell r="E91" t="str">
            <v>TCKH</v>
          </cell>
          <cell r="F91" t="str">
            <v>Văn phòng</v>
          </cell>
          <cell r="G91" t="str">
            <v>KTT</v>
          </cell>
          <cell r="H91" t="str">
            <v>Desktop</v>
          </cell>
          <cell r="I91" t="str">
            <v>HUE-TCKT-DIEPDM</v>
          </cell>
          <cell r="J91" t="str">
            <v>Lắp ráp ĐNA</v>
          </cell>
          <cell r="K91">
            <v>15</v>
          </cell>
          <cell r="L91">
            <v>2021</v>
          </cell>
          <cell r="M91" t="str">
            <v>Đáp ứng</v>
          </cell>
          <cell r="N91" t="str">
            <v>Intel i5 10400 2.9GHz</v>
          </cell>
          <cell r="O91" t="str">
            <v>16GB</v>
          </cell>
          <cell r="P91" t="str">
            <v>SSD 240GB</v>
          </cell>
          <cell r="Q91" t="str">
            <v>Microsoft Windows 10</v>
          </cell>
        </row>
        <row r="92">
          <cell r="A92">
            <v>531130</v>
          </cell>
          <cell r="B92">
            <v>5309</v>
          </cell>
          <cell r="C92" t="str">
            <v>Văn phòng BĐTP Huế</v>
          </cell>
          <cell r="D92" t="str">
            <v>VP BĐ TP Huế</v>
          </cell>
          <cell r="E92" t="str">
            <v>TCKH</v>
          </cell>
          <cell r="F92" t="str">
            <v>Văn phòng</v>
          </cell>
          <cell r="G92" t="str">
            <v>Trần Thị Như Ý</v>
          </cell>
          <cell r="H92" t="str">
            <v>Desktop</v>
          </cell>
          <cell r="I92" t="str">
            <v>HUE-TCKT-YTTN</v>
          </cell>
          <cell r="J92" t="str">
            <v>Lắp ráp ĐNA</v>
          </cell>
          <cell r="K92">
            <v>13</v>
          </cell>
          <cell r="L92">
            <v>2020</v>
          </cell>
          <cell r="M92" t="str">
            <v>Đáp ứng</v>
          </cell>
          <cell r="N92" t="str">
            <v>Intel G6400 4.0Ghz</v>
          </cell>
          <cell r="O92" t="str">
            <v>8GB</v>
          </cell>
          <cell r="P92" t="str">
            <v>SSD 120GB</v>
          </cell>
          <cell r="Q92" t="str">
            <v>Microsoft Windows 10</v>
          </cell>
        </row>
        <row r="93">
          <cell r="A93">
            <v>531130</v>
          </cell>
          <cell r="B93">
            <v>5309</v>
          </cell>
          <cell r="C93" t="str">
            <v>Văn phòng BĐTP Huế</v>
          </cell>
          <cell r="D93" t="str">
            <v>VP BĐ TP Huế</v>
          </cell>
          <cell r="E93" t="str">
            <v>TCKH</v>
          </cell>
          <cell r="F93" t="str">
            <v>Văn phòng</v>
          </cell>
          <cell r="G93" t="str">
            <v>Hồ Thị Huyền Phương</v>
          </cell>
          <cell r="H93" t="str">
            <v>Desktop</v>
          </cell>
          <cell r="I93" t="str">
            <v>HUE-TCKT-PHUONG</v>
          </cell>
          <cell r="J93" t="str">
            <v>Lắp ráp ĐNA</v>
          </cell>
          <cell r="K93">
            <v>15</v>
          </cell>
          <cell r="L93">
            <v>2020</v>
          </cell>
          <cell r="M93" t="str">
            <v>Đáp ứng</v>
          </cell>
          <cell r="N93" t="str">
            <v>Intel G4900 3.1GHz</v>
          </cell>
          <cell r="O93" t="str">
            <v>4GB</v>
          </cell>
          <cell r="P93" t="str">
            <v>SSD 120GB</v>
          </cell>
          <cell r="Q93" t="str">
            <v>Microsoft Windows 10</v>
          </cell>
        </row>
        <row r="94">
          <cell r="A94">
            <v>531130</v>
          </cell>
          <cell r="B94">
            <v>5309</v>
          </cell>
          <cell r="C94" t="str">
            <v>Văn phòng BĐTP Huế</v>
          </cell>
          <cell r="D94" t="str">
            <v>VP BĐ TP Huế</v>
          </cell>
          <cell r="E94" t="str">
            <v>TCKH</v>
          </cell>
          <cell r="F94" t="str">
            <v>Văn phòng</v>
          </cell>
          <cell r="G94" t="str">
            <v>Đặng Thị Thùy Trâm</v>
          </cell>
          <cell r="H94" t="str">
            <v>Desktop</v>
          </cell>
          <cell r="I94" t="str">
            <v>HUE-TCKT-TRAMDT</v>
          </cell>
          <cell r="J94" t="str">
            <v>Lắp ráp ĐNA</v>
          </cell>
          <cell r="K94">
            <v>15</v>
          </cell>
          <cell r="L94">
            <v>2018</v>
          </cell>
          <cell r="M94" t="str">
            <v>Đáp ứng</v>
          </cell>
          <cell r="N94" t="str">
            <v>Intel G5900 3.4Ghz</v>
          </cell>
          <cell r="O94" t="str">
            <v>8GB</v>
          </cell>
          <cell r="P94" t="str">
            <v>SSD 120GB</v>
          </cell>
          <cell r="Q94" t="str">
            <v>Microsoft Windows 10</v>
          </cell>
        </row>
        <row r="95">
          <cell r="A95">
            <v>531130</v>
          </cell>
          <cell r="B95">
            <v>5309</v>
          </cell>
          <cell r="C95" t="str">
            <v>Văn phòng BĐTP Huế</v>
          </cell>
          <cell r="D95" t="str">
            <v>VP BĐ TP Huế</v>
          </cell>
          <cell r="E95" t="str">
            <v>TCHC</v>
          </cell>
          <cell r="F95" t="str">
            <v>Văn phòng</v>
          </cell>
          <cell r="G95" t="str">
            <v>Võ Thị Thuận Hòa</v>
          </cell>
          <cell r="H95" t="str">
            <v>Desktop</v>
          </cell>
          <cell r="I95" t="str">
            <v>HUE-TCKT-HOAVTT</v>
          </cell>
          <cell r="J95" t="str">
            <v>Lắp ráp ĐNA</v>
          </cell>
          <cell r="K95">
            <v>15</v>
          </cell>
          <cell r="L95">
            <v>2020</v>
          </cell>
          <cell r="M95" t="str">
            <v>Đáp ứng</v>
          </cell>
          <cell r="N95" t="str">
            <v>Intel G6400 4.0Ghz</v>
          </cell>
          <cell r="O95" t="str">
            <v>8GB</v>
          </cell>
          <cell r="P95" t="str">
            <v>SSD 120GB</v>
          </cell>
          <cell r="Q95" t="str">
            <v>Microsoft Windows 10</v>
          </cell>
        </row>
        <row r="96">
          <cell r="A96">
            <v>531130</v>
          </cell>
          <cell r="B96">
            <v>5309</v>
          </cell>
          <cell r="C96" t="str">
            <v>Văn phòng BĐTP Huế</v>
          </cell>
          <cell r="D96" t="str">
            <v>VP BĐ TP Huế</v>
          </cell>
          <cell r="E96" t="str">
            <v>TCKH</v>
          </cell>
          <cell r="F96" t="str">
            <v>Văn phòng</v>
          </cell>
          <cell r="G96" t="str">
            <v>Lê Đình Phụng</v>
          </cell>
          <cell r="H96" t="str">
            <v>Desktop</v>
          </cell>
          <cell r="I96" t="str">
            <v>HUE-TCKT-PHUNGL</v>
          </cell>
          <cell r="J96" t="str">
            <v>Lắp ráp ĐNA</v>
          </cell>
          <cell r="K96">
            <v>15</v>
          </cell>
          <cell r="L96">
            <v>2019</v>
          </cell>
          <cell r="M96" t="str">
            <v>Đáp ứng</v>
          </cell>
          <cell r="N96" t="str">
            <v>Intel G4900 3.1GHz</v>
          </cell>
          <cell r="O96" t="str">
            <v>4GB</v>
          </cell>
          <cell r="P96" t="str">
            <v>SSD 120GB</v>
          </cell>
          <cell r="Q96" t="str">
            <v>Microsoft Windows 10</v>
          </cell>
        </row>
        <row r="97">
          <cell r="A97">
            <v>531130</v>
          </cell>
          <cell r="B97">
            <v>5309</v>
          </cell>
          <cell r="C97" t="str">
            <v>Văn phòng BĐTP Huế</v>
          </cell>
          <cell r="D97" t="str">
            <v>VP BĐ TP Huế</v>
          </cell>
          <cell r="E97" t="str">
            <v>TCKH</v>
          </cell>
          <cell r="F97" t="str">
            <v>Văn phòng</v>
          </cell>
          <cell r="G97" t="str">
            <v>CV</v>
          </cell>
          <cell r="H97" t="str">
            <v>Desktop</v>
          </cell>
          <cell r="I97" t="str">
            <v>HUE-TCKH-DONGTD</v>
          </cell>
          <cell r="J97" t="str">
            <v>Lắp ráp ĐNA</v>
          </cell>
          <cell r="K97">
            <v>15</v>
          </cell>
          <cell r="L97">
            <v>2019</v>
          </cell>
          <cell r="M97" t="str">
            <v>Đáp ứng</v>
          </cell>
          <cell r="N97" t="str">
            <v>Intel G6400 4.0Ghz</v>
          </cell>
          <cell r="O97" t="str">
            <v>4GB</v>
          </cell>
          <cell r="P97" t="str">
            <v>SSD 120GB</v>
          </cell>
          <cell r="Q97" t="str">
            <v>Microsoft Windows 10</v>
          </cell>
        </row>
        <row r="98">
          <cell r="A98">
            <v>531130</v>
          </cell>
          <cell r="B98">
            <v>5309</v>
          </cell>
          <cell r="C98" t="str">
            <v>Văn phòng BĐTP Huế</v>
          </cell>
          <cell r="D98" t="str">
            <v>VP BĐ TP Huế</v>
          </cell>
          <cell r="E98" t="str">
            <v>TTKD</v>
          </cell>
          <cell r="F98" t="str">
            <v>Văn phòng</v>
          </cell>
          <cell r="G98" t="str">
            <v>Hà</v>
          </cell>
          <cell r="H98" t="str">
            <v>Desktop</v>
          </cell>
          <cell r="I98" t="str">
            <v>HUE-KHKD-HANT</v>
          </cell>
          <cell r="J98" t="str">
            <v>Lắp ráp ĐNA</v>
          </cell>
          <cell r="K98">
            <v>13</v>
          </cell>
          <cell r="L98">
            <v>2017</v>
          </cell>
          <cell r="M98" t="str">
            <v>Đáp ứng</v>
          </cell>
          <cell r="N98" t="str">
            <v>Intel G3460 3.5Ghz</v>
          </cell>
          <cell r="O98" t="str">
            <v>8GB</v>
          </cell>
          <cell r="P98" t="str">
            <v>SSD 120GB</v>
          </cell>
          <cell r="Q98" t="str">
            <v>Microsoft Windows 10</v>
          </cell>
        </row>
        <row r="99">
          <cell r="A99">
            <v>531130</v>
          </cell>
          <cell r="B99">
            <v>5309</v>
          </cell>
          <cell r="C99" t="str">
            <v>Văn phòng BĐTP Huế</v>
          </cell>
          <cell r="D99" t="str">
            <v>VP BĐ TP Huế</v>
          </cell>
          <cell r="E99" t="str">
            <v>TTKD</v>
          </cell>
          <cell r="F99" t="str">
            <v>Văn phòng</v>
          </cell>
          <cell r="G99" t="str">
            <v>CV</v>
          </cell>
          <cell r="H99" t="str">
            <v>Desktop</v>
          </cell>
          <cell r="I99" t="str">
            <v>HUE-KHKD-BCCP</v>
          </cell>
          <cell r="J99" t="str">
            <v>Lắp ráp ĐNA</v>
          </cell>
          <cell r="K99">
            <v>13</v>
          </cell>
          <cell r="L99">
            <v>2016</v>
          </cell>
          <cell r="M99" t="str">
            <v>Đáp ứng</v>
          </cell>
          <cell r="N99" t="str">
            <v>Intel i3 8100</v>
          </cell>
          <cell r="O99" t="str">
            <v>8GB</v>
          </cell>
          <cell r="P99" t="str">
            <v>SSD 120GB</v>
          </cell>
          <cell r="Q99" t="str">
            <v>Microsoft Windows 10</v>
          </cell>
        </row>
        <row r="100">
          <cell r="A100">
            <v>531130</v>
          </cell>
          <cell r="B100">
            <v>5309</v>
          </cell>
          <cell r="C100" t="str">
            <v>Văn phòng BĐTP Huế</v>
          </cell>
          <cell r="D100" t="str">
            <v>VP BĐ TP Huế</v>
          </cell>
          <cell r="E100" t="str">
            <v>TTKD</v>
          </cell>
          <cell r="F100" t="str">
            <v>Văn phòng</v>
          </cell>
          <cell r="G100" t="str">
            <v>TP KHKD</v>
          </cell>
          <cell r="H100" t="str">
            <v>Desktop</v>
          </cell>
          <cell r="I100" t="str">
            <v>HUE-KHKD-DUNGHD</v>
          </cell>
          <cell r="J100" t="str">
            <v>Lắp ráp ĐNA</v>
          </cell>
          <cell r="K100">
            <v>15</v>
          </cell>
          <cell r="L100">
            <v>2019</v>
          </cell>
          <cell r="M100" t="str">
            <v>Đáp ứng</v>
          </cell>
          <cell r="N100" t="str">
            <v>Intel G3260 3.1Ghz</v>
          </cell>
          <cell r="O100" t="str">
            <v>8GB</v>
          </cell>
          <cell r="P100" t="str">
            <v>SSD 120GB</v>
          </cell>
          <cell r="Q100" t="str">
            <v>Microsoft Windows 10</v>
          </cell>
        </row>
        <row r="101">
          <cell r="A101">
            <v>531130</v>
          </cell>
          <cell r="B101">
            <v>5309</v>
          </cell>
          <cell r="C101" t="str">
            <v>Văn phòng BĐTP Huế</v>
          </cell>
          <cell r="D101" t="str">
            <v>VP BĐ TP Huế</v>
          </cell>
          <cell r="E101" t="str">
            <v>TTKD</v>
          </cell>
          <cell r="F101" t="str">
            <v>Văn phòng</v>
          </cell>
          <cell r="G101" t="str">
            <v>Hương</v>
          </cell>
          <cell r="H101" t="str">
            <v>Desktop</v>
          </cell>
          <cell r="I101" t="str">
            <v>HUE-TTKD-HUONGVT</v>
          </cell>
          <cell r="J101" t="str">
            <v>Lắp ráp ĐNA</v>
          </cell>
          <cell r="K101">
            <v>16</v>
          </cell>
          <cell r="L101">
            <v>2017</v>
          </cell>
          <cell r="M101" t="str">
            <v>Đáp ứng</v>
          </cell>
          <cell r="N101" t="str">
            <v>Intel G3460 3.5Ghz</v>
          </cell>
          <cell r="O101" t="str">
            <v>8GB</v>
          </cell>
          <cell r="P101" t="str">
            <v>SSD 120GB</v>
          </cell>
          <cell r="Q101" t="str">
            <v>Microsoft Windows 10</v>
          </cell>
        </row>
        <row r="102">
          <cell r="A102">
            <v>531130</v>
          </cell>
          <cell r="B102">
            <v>5309</v>
          </cell>
          <cell r="C102" t="str">
            <v>Văn phòng BĐTP Huế</v>
          </cell>
          <cell r="D102" t="str">
            <v>VP BĐ TP Huế</v>
          </cell>
          <cell r="E102" t="str">
            <v>TTKD</v>
          </cell>
          <cell r="F102" t="str">
            <v>Văn phòng</v>
          </cell>
          <cell r="G102" t="str">
            <v>Võ Thanh Chung</v>
          </cell>
          <cell r="H102" t="str">
            <v>Desktop</v>
          </cell>
          <cell r="I102" t="str">
            <v>HUE-KHKD-CHUNGVT</v>
          </cell>
          <cell r="J102" t="str">
            <v>Lắp ráp ĐNA</v>
          </cell>
          <cell r="K102">
            <v>16</v>
          </cell>
          <cell r="L102">
            <v>2016</v>
          </cell>
          <cell r="M102" t="str">
            <v>Không đáp ứng cần nâng cấp</v>
          </cell>
          <cell r="N102" t="str">
            <v>Intel G2020 2.9GHz</v>
          </cell>
          <cell r="O102" t="str">
            <v>4GB</v>
          </cell>
          <cell r="P102" t="str">
            <v>HDD 500GB</v>
          </cell>
          <cell r="Q102" t="str">
            <v>Microsoft Windows 10</v>
          </cell>
        </row>
        <row r="103">
          <cell r="A103">
            <v>531130</v>
          </cell>
          <cell r="B103">
            <v>5309</v>
          </cell>
          <cell r="C103" t="str">
            <v>Văn phòng BĐTP Huế</v>
          </cell>
          <cell r="D103" t="str">
            <v>VP BĐ TP Huế</v>
          </cell>
          <cell r="E103" t="str">
            <v>TTKD</v>
          </cell>
          <cell r="F103" t="str">
            <v>Văn phòng</v>
          </cell>
          <cell r="G103" t="str">
            <v>Trần Minh Thy</v>
          </cell>
          <cell r="H103" t="str">
            <v>Desktop</v>
          </cell>
          <cell r="I103" t="str">
            <v>HUE-KHKD-THYTM</v>
          </cell>
          <cell r="J103" t="str">
            <v>Lắp ráp ĐNA</v>
          </cell>
          <cell r="K103">
            <v>14</v>
          </cell>
          <cell r="L103">
            <v>2016</v>
          </cell>
          <cell r="M103" t="str">
            <v>Không đáp ứng cần nâng cấp</v>
          </cell>
          <cell r="N103" t="str">
            <v>Intel G2020 2.9GHz</v>
          </cell>
          <cell r="O103" t="str">
            <v>4GB</v>
          </cell>
          <cell r="P103" t="str">
            <v>HDD 500GB</v>
          </cell>
          <cell r="Q103" t="str">
            <v>Microsoft Windows 10</v>
          </cell>
        </row>
        <row r="104">
          <cell r="A104">
            <v>531130</v>
          </cell>
          <cell r="B104">
            <v>5309</v>
          </cell>
          <cell r="C104" t="str">
            <v>Văn phòng BĐTP Huế</v>
          </cell>
          <cell r="D104" t="str">
            <v>VP BĐ TP Huế</v>
          </cell>
          <cell r="E104" t="str">
            <v>TTKD</v>
          </cell>
          <cell r="F104" t="str">
            <v>Văn phòng</v>
          </cell>
          <cell r="H104" t="str">
            <v>Desktop</v>
          </cell>
          <cell r="I104" t="str">
            <v>HUE-KHKD-</v>
          </cell>
          <cell r="J104" t="str">
            <v>Lắp ráp ĐNA</v>
          </cell>
          <cell r="K104">
            <v>9</v>
          </cell>
          <cell r="L104">
            <v>2016</v>
          </cell>
          <cell r="M104" t="str">
            <v>Không đáp ứng cần nâng cấp</v>
          </cell>
          <cell r="N104" t="str">
            <v>Intel G2020 2.9GHz</v>
          </cell>
          <cell r="O104" t="str">
            <v>4GB</v>
          </cell>
          <cell r="P104" t="str">
            <v>HDD 500GB</v>
          </cell>
          <cell r="Q104" t="str">
            <v>Microsoft Windows 7</v>
          </cell>
        </row>
        <row r="105">
          <cell r="A105">
            <v>531130</v>
          </cell>
          <cell r="B105">
            <v>5309</v>
          </cell>
          <cell r="C105" t="str">
            <v>Văn phòng BĐTP Huế</v>
          </cell>
          <cell r="D105" t="str">
            <v>VP BĐ TP Huế</v>
          </cell>
          <cell r="E105" t="str">
            <v>BGĐ</v>
          </cell>
          <cell r="F105" t="str">
            <v>Văn phòng</v>
          </cell>
          <cell r="G105" t="str">
            <v>Võ Hoài Trung</v>
          </cell>
          <cell r="H105" t="str">
            <v>Desktop</v>
          </cell>
          <cell r="I105" t="str">
            <v>HUE-BGD-TRUNGVH</v>
          </cell>
          <cell r="J105" t="str">
            <v>Lắp ráp ĐNA</v>
          </cell>
          <cell r="K105">
            <v>15</v>
          </cell>
          <cell r="L105">
            <v>2018</v>
          </cell>
          <cell r="M105" t="str">
            <v>Đáp ứng</v>
          </cell>
          <cell r="N105" t="str">
            <v>Intel i3 8100 3.6GHz</v>
          </cell>
          <cell r="O105" t="str">
            <v>16GB</v>
          </cell>
          <cell r="P105" t="str">
            <v>SSD 240GB</v>
          </cell>
          <cell r="Q105" t="str">
            <v>Microsoft Windows 10</v>
          </cell>
        </row>
        <row r="106">
          <cell r="A106">
            <v>531130</v>
          </cell>
          <cell r="B106">
            <v>5309</v>
          </cell>
          <cell r="C106" t="str">
            <v>Văn phòng BĐTP Huế</v>
          </cell>
          <cell r="D106" t="str">
            <v>VP BĐ TP Huế</v>
          </cell>
          <cell r="E106" t="str">
            <v>TTKD</v>
          </cell>
          <cell r="F106" t="str">
            <v>Văn phòng</v>
          </cell>
          <cell r="G106" t="str">
            <v>Máy DL kế hoạch</v>
          </cell>
          <cell r="H106" t="str">
            <v>Desktop</v>
          </cell>
          <cell r="I106" t="str">
            <v>HUE-KHKD-DLKH</v>
          </cell>
          <cell r="J106" t="str">
            <v>Lắp ráp ĐNA</v>
          </cell>
          <cell r="K106">
            <v>13</v>
          </cell>
          <cell r="L106">
            <v>2015</v>
          </cell>
          <cell r="M106" t="str">
            <v>Đáp ứng</v>
          </cell>
          <cell r="N106" t="str">
            <v>Intel G1840 2.8GHz</v>
          </cell>
          <cell r="O106" t="str">
            <v>8GB</v>
          </cell>
          <cell r="P106" t="str">
            <v>SSD 120GB</v>
          </cell>
          <cell r="Q106" t="str">
            <v>Microsoft Windows 10</v>
          </cell>
        </row>
        <row r="107">
          <cell r="A107">
            <v>531130</v>
          </cell>
          <cell r="B107">
            <v>5309</v>
          </cell>
          <cell r="C107" t="str">
            <v>Văn phòng BĐTP Huế</v>
          </cell>
          <cell r="D107" t="str">
            <v>VP BĐ TP Huế</v>
          </cell>
          <cell r="E107" t="str">
            <v>TTKD</v>
          </cell>
          <cell r="F107" t="str">
            <v>Văn phòng</v>
          </cell>
          <cell r="G107" t="str">
            <v>Hùng</v>
          </cell>
          <cell r="H107" t="str">
            <v>Desktop</v>
          </cell>
          <cell r="I107" t="str">
            <v>HUE-KHKD-KHKD01</v>
          </cell>
          <cell r="J107" t="str">
            <v>Lắp ráp ĐNA</v>
          </cell>
          <cell r="K107">
            <v>15</v>
          </cell>
          <cell r="L107">
            <v>2016</v>
          </cell>
          <cell r="M107" t="str">
            <v>Đáp ứng</v>
          </cell>
          <cell r="N107" t="str">
            <v>Intel G4400 3.3GHz</v>
          </cell>
          <cell r="O107" t="str">
            <v>8GB</v>
          </cell>
          <cell r="P107" t="str">
            <v>HDD 500GB</v>
          </cell>
          <cell r="Q107" t="str">
            <v>Microsoft Windows 10</v>
          </cell>
        </row>
        <row r="108">
          <cell r="A108">
            <v>531130</v>
          </cell>
          <cell r="B108">
            <v>5309</v>
          </cell>
          <cell r="C108" t="str">
            <v>Văn phòng BĐTP Huế</v>
          </cell>
          <cell r="D108" t="str">
            <v>VP BĐ TP Huế</v>
          </cell>
          <cell r="E108" t="str">
            <v>BGĐ</v>
          </cell>
          <cell r="F108" t="str">
            <v>Văn phòng</v>
          </cell>
          <cell r="G108" t="str">
            <v>Lê Văn Nghị</v>
          </cell>
          <cell r="H108" t="str">
            <v>Laptop</v>
          </cell>
          <cell r="I108" t="str">
            <v>HUE-BGD-NGHILV</v>
          </cell>
          <cell r="J108" t="str">
            <v>HP Probook 450 G9</v>
          </cell>
          <cell r="K108">
            <v>14</v>
          </cell>
          <cell r="L108">
            <v>2022</v>
          </cell>
          <cell r="M108" t="str">
            <v>Nhanh</v>
          </cell>
          <cell r="N108" t="str">
            <v>Intel i7 1260P</v>
          </cell>
          <cell r="O108" t="str">
            <v>16GB</v>
          </cell>
          <cell r="P108" t="str">
            <v>SSD 500GB</v>
          </cell>
          <cell r="Q108" t="str">
            <v>Microsoft Windows 11</v>
          </cell>
        </row>
        <row r="109">
          <cell r="A109">
            <v>531130</v>
          </cell>
          <cell r="B109">
            <v>5309</v>
          </cell>
          <cell r="C109" t="str">
            <v>Văn phòng BĐTP Huế</v>
          </cell>
          <cell r="D109" t="str">
            <v>VP BĐ TP Huế</v>
          </cell>
          <cell r="E109" t="str">
            <v>TCHC</v>
          </cell>
          <cell r="F109" t="str">
            <v>Văn phòng</v>
          </cell>
          <cell r="G109" t="str">
            <v>WIFI</v>
          </cell>
          <cell r="H109" t="str">
            <v>Desktop</v>
          </cell>
          <cell r="I109" t="str">
            <v>TP-Link</v>
          </cell>
          <cell r="K109">
            <v>7</v>
          </cell>
          <cell r="L109">
            <v>2016</v>
          </cell>
          <cell r="M109" t="str">
            <v>Không đáp ứng cần nâng cấp</v>
          </cell>
        </row>
        <row r="110">
          <cell r="A110">
            <v>531130</v>
          </cell>
          <cell r="B110">
            <v>5309</v>
          </cell>
          <cell r="C110" t="str">
            <v>Văn phòng BĐTP Huế</v>
          </cell>
          <cell r="D110" t="str">
            <v>VP BĐ TP Huế</v>
          </cell>
          <cell r="E110" t="str">
            <v>TCHC</v>
          </cell>
          <cell r="F110" t="str">
            <v>Văn phòng</v>
          </cell>
          <cell r="G110" t="str">
            <v>Nguyễn Thị Thùy Dung</v>
          </cell>
          <cell r="H110" t="str">
            <v>Desktop</v>
          </cell>
          <cell r="I110" t="str">
            <v>HUE-TCHC-DUNGNTT</v>
          </cell>
          <cell r="J110" t="str">
            <v>Lắp ráp ĐNA</v>
          </cell>
          <cell r="K110">
            <v>16</v>
          </cell>
          <cell r="L110">
            <v>2016</v>
          </cell>
          <cell r="M110" t="str">
            <v>Không đáp ứng cần nâng cấp</v>
          </cell>
          <cell r="N110" t="str">
            <v>Intel i3 14100 3.5Ghz</v>
          </cell>
          <cell r="O110" t="str">
            <v>16GB</v>
          </cell>
          <cell r="P110" t="str">
            <v>SSD 512GB</v>
          </cell>
          <cell r="Q110" t="str">
            <v>Microsoft Windows 10</v>
          </cell>
        </row>
        <row r="111">
          <cell r="A111">
            <v>531130</v>
          </cell>
          <cell r="B111">
            <v>5309</v>
          </cell>
          <cell r="C111" t="str">
            <v>Văn phòng BĐTP Huế</v>
          </cell>
          <cell r="D111" t="str">
            <v>VP BĐ TP Huế</v>
          </cell>
          <cell r="E111" t="str">
            <v>VP Trung tâm Vận hành</v>
          </cell>
          <cell r="F111" t="str">
            <v>Văn phòng</v>
          </cell>
          <cell r="G111" t="str">
            <v>Dũng</v>
          </cell>
          <cell r="H111" t="str">
            <v>Desktop</v>
          </cell>
          <cell r="I111" t="str">
            <v>HUE-KTNV-DUNGNA</v>
          </cell>
          <cell r="J111" t="str">
            <v>Lắp ráp ĐNA</v>
          </cell>
          <cell r="K111">
            <v>15</v>
          </cell>
          <cell r="L111">
            <v>2018</v>
          </cell>
          <cell r="M111" t="str">
            <v>Chậm</v>
          </cell>
          <cell r="N111" t="str">
            <v>Intel G4400 3.3GHz</v>
          </cell>
          <cell r="O111" t="str">
            <v>4GB</v>
          </cell>
          <cell r="P111" t="str">
            <v>HDD 500GB</v>
          </cell>
          <cell r="Q111" t="str">
            <v>Microsoft Windows 11</v>
          </cell>
        </row>
        <row r="112">
          <cell r="A112">
            <v>531130</v>
          </cell>
          <cell r="B112">
            <v>5309</v>
          </cell>
          <cell r="C112" t="str">
            <v>Văn phòng BĐTP Huế</v>
          </cell>
          <cell r="D112" t="str">
            <v>VP BĐ TP Huế</v>
          </cell>
          <cell r="E112" t="str">
            <v>VP Trung tâm Vận hành</v>
          </cell>
          <cell r="F112" t="str">
            <v>Văn phòng</v>
          </cell>
          <cell r="G112" t="str">
            <v>Xuân</v>
          </cell>
          <cell r="H112" t="str">
            <v>Desktop</v>
          </cell>
          <cell r="I112" t="str">
            <v>HUE-KTNV-XUAN</v>
          </cell>
          <cell r="J112" t="str">
            <v>Lắp ráp ĐNA</v>
          </cell>
          <cell r="K112">
            <v>13</v>
          </cell>
          <cell r="L112">
            <v>2020</v>
          </cell>
          <cell r="M112" t="str">
            <v>Đáp ứng</v>
          </cell>
          <cell r="N112" t="str">
            <v>Intel G6400 4.0Ghz</v>
          </cell>
          <cell r="O112" t="str">
            <v>4GB</v>
          </cell>
          <cell r="P112" t="str">
            <v>SSD 120GB</v>
          </cell>
          <cell r="Q112" t="str">
            <v>Microsoft Windows 10</v>
          </cell>
        </row>
        <row r="113">
          <cell r="A113">
            <v>531130</v>
          </cell>
          <cell r="B113">
            <v>5309</v>
          </cell>
          <cell r="C113" t="str">
            <v>Văn phòng BĐTP Huế</v>
          </cell>
          <cell r="D113" t="str">
            <v>VP BĐ TP Huế</v>
          </cell>
          <cell r="E113" t="str">
            <v>VP Trung tâm Vận hành</v>
          </cell>
          <cell r="F113" t="str">
            <v>Văn phòng</v>
          </cell>
          <cell r="G113" t="str">
            <v>Tân</v>
          </cell>
          <cell r="H113" t="str">
            <v>Desktop</v>
          </cell>
          <cell r="I113" t="str">
            <v>HUE-KTNV-TANTN</v>
          </cell>
          <cell r="J113" t="str">
            <v>Lắp ráp ĐNA</v>
          </cell>
          <cell r="K113">
            <v>14</v>
          </cell>
          <cell r="L113">
            <v>2020</v>
          </cell>
          <cell r="M113" t="str">
            <v>Đáp ứng</v>
          </cell>
          <cell r="N113" t="str">
            <v>Intel G6400 4.0Ghz</v>
          </cell>
          <cell r="O113" t="str">
            <v>8GB</v>
          </cell>
          <cell r="P113" t="str">
            <v>SSD 256GB</v>
          </cell>
          <cell r="Q113" t="str">
            <v>Microsoft Windows 10</v>
          </cell>
        </row>
        <row r="114">
          <cell r="A114">
            <v>531130</v>
          </cell>
          <cell r="B114">
            <v>5309</v>
          </cell>
          <cell r="C114" t="str">
            <v>Văn phòng BĐTP Huế</v>
          </cell>
          <cell r="D114" t="str">
            <v>VP BĐ TP Huế</v>
          </cell>
          <cell r="E114" t="str">
            <v>VP Trung tâm Vận hành</v>
          </cell>
          <cell r="F114" t="str">
            <v>Văn phòng</v>
          </cell>
          <cell r="G114" t="str">
            <v>Nhung</v>
          </cell>
          <cell r="H114" t="str">
            <v>Desktop</v>
          </cell>
          <cell r="I114" t="str">
            <v>HUE-KTNV-NHUNG</v>
          </cell>
          <cell r="J114" t="str">
            <v>Lắp ráp ĐNA</v>
          </cell>
          <cell r="K114">
            <v>14</v>
          </cell>
          <cell r="L114">
            <v>2018</v>
          </cell>
          <cell r="M114" t="str">
            <v>Chậm</v>
          </cell>
          <cell r="N114" t="str">
            <v>Intel G4400 3.3GHz</v>
          </cell>
          <cell r="O114" t="str">
            <v>4GB</v>
          </cell>
          <cell r="P114" t="str">
            <v>HDD 500GB</v>
          </cell>
          <cell r="Q114" t="str">
            <v>Microsoft Windows 10</v>
          </cell>
        </row>
        <row r="115">
          <cell r="A115">
            <v>531130</v>
          </cell>
          <cell r="B115">
            <v>5309</v>
          </cell>
          <cell r="C115" t="str">
            <v>Văn phòng BĐTP Huế</v>
          </cell>
          <cell r="D115" t="str">
            <v>VP BĐ TP Huế</v>
          </cell>
          <cell r="E115" t="str">
            <v>VP Trung tâm Vận hành</v>
          </cell>
          <cell r="F115" t="str">
            <v>Văn phòng</v>
          </cell>
          <cell r="G115" t="str">
            <v>Minh</v>
          </cell>
          <cell r="H115" t="str">
            <v>Desktop</v>
          </cell>
          <cell r="I115" t="str">
            <v>HUE-KTNV-MINHNT</v>
          </cell>
          <cell r="J115" t="str">
            <v>Lắp ráp ĐNA</v>
          </cell>
          <cell r="K115">
            <v>15</v>
          </cell>
          <cell r="L115">
            <v>2021</v>
          </cell>
          <cell r="M115" t="str">
            <v>Đáp ứng</v>
          </cell>
          <cell r="N115" t="str">
            <v>Intel G6405 4.1GHz</v>
          </cell>
          <cell r="O115" t="str">
            <v>8GB</v>
          </cell>
          <cell r="P115" t="str">
            <v>SSD 120GB</v>
          </cell>
          <cell r="Q115" t="str">
            <v>Microsoft Windows 10</v>
          </cell>
        </row>
        <row r="116">
          <cell r="A116">
            <v>531130</v>
          </cell>
          <cell r="B116">
            <v>5309</v>
          </cell>
          <cell r="C116" t="str">
            <v>Văn phòng BĐTP Huế</v>
          </cell>
          <cell r="D116" t="str">
            <v>VP BĐ TP Huế</v>
          </cell>
          <cell r="E116" t="str">
            <v>Bưu cục VP Bưu điện Thành phố Huế</v>
          </cell>
          <cell r="F116" t="str">
            <v>Văn phòng</v>
          </cell>
          <cell r="G116" t="str">
            <v>Chung</v>
          </cell>
          <cell r="H116" t="str">
            <v>Desktop</v>
          </cell>
          <cell r="I116" t="str">
            <v>HUE-KTNV-CHUNG</v>
          </cell>
          <cell r="J116" t="str">
            <v>Lắp ráp ĐNA</v>
          </cell>
          <cell r="K116">
            <v>14</v>
          </cell>
          <cell r="L116">
            <v>2020</v>
          </cell>
          <cell r="M116" t="str">
            <v>Đáp ứng</v>
          </cell>
          <cell r="N116" t="str">
            <v>Intel G6400 4.0Ghz</v>
          </cell>
          <cell r="O116" t="str">
            <v>4GB</v>
          </cell>
          <cell r="P116" t="str">
            <v>SSD 256GB</v>
          </cell>
          <cell r="Q116" t="str">
            <v>Microsoft Windows 10</v>
          </cell>
        </row>
        <row r="117">
          <cell r="A117">
            <v>531130</v>
          </cell>
          <cell r="B117">
            <v>5309</v>
          </cell>
          <cell r="C117" t="str">
            <v>Văn phòng BĐTP Huế</v>
          </cell>
          <cell r="D117" t="str">
            <v>VP BĐ TP Huế</v>
          </cell>
          <cell r="E117" t="str">
            <v>Bưu cục VP Bưu điện Thành phố Huế</v>
          </cell>
          <cell r="F117" t="str">
            <v>Văn phòng</v>
          </cell>
          <cell r="G117" t="str">
            <v>CV</v>
          </cell>
          <cell r="H117" t="str">
            <v>Desktop</v>
          </cell>
          <cell r="J117" t="str">
            <v>Lắp ráp ĐNA</v>
          </cell>
          <cell r="K117">
            <v>0</v>
          </cell>
          <cell r="L117">
            <v>2019</v>
          </cell>
          <cell r="M117" t="str">
            <v>Không đáp ứng cần nâng cấp</v>
          </cell>
          <cell r="N117" t="str">
            <v>Intel G3250 3.2GHz</v>
          </cell>
          <cell r="O117" t="str">
            <v>4GB</v>
          </cell>
          <cell r="P117" t="str">
            <v>HDD 500GB</v>
          </cell>
          <cell r="Q117" t="str">
            <v/>
          </cell>
        </row>
        <row r="118">
          <cell r="A118">
            <v>531130</v>
          </cell>
          <cell r="B118">
            <v>5309</v>
          </cell>
          <cell r="C118" t="str">
            <v>Văn phòng BĐTP Huế</v>
          </cell>
          <cell r="D118" t="str">
            <v>VP BĐ TP Huế</v>
          </cell>
          <cell r="E118" t="str">
            <v>Bưu cục VP Bưu điện Thành phố Huế</v>
          </cell>
          <cell r="F118" t="str">
            <v>Văn phòng</v>
          </cell>
          <cell r="G118" t="str">
            <v>CV</v>
          </cell>
          <cell r="H118" t="str">
            <v>Desktop</v>
          </cell>
          <cell r="J118" t="str">
            <v>Lắp ráp ĐNA</v>
          </cell>
          <cell r="K118">
            <v>0</v>
          </cell>
          <cell r="L118">
            <v>2018</v>
          </cell>
          <cell r="M118" t="str">
            <v>Đáp ứng</v>
          </cell>
          <cell r="N118" t="str">
            <v>Intel G4400 3.3GHz</v>
          </cell>
          <cell r="O118" t="str">
            <v>4GB</v>
          </cell>
          <cell r="P118" t="str">
            <v>SSD 120GB</v>
          </cell>
          <cell r="Q118" t="str">
            <v/>
          </cell>
        </row>
        <row r="119">
          <cell r="A119">
            <v>531107</v>
          </cell>
          <cell r="B119">
            <v>5309</v>
          </cell>
          <cell r="C119" t="str">
            <v>Văn phòng BĐTP Huế</v>
          </cell>
          <cell r="D119" t="str">
            <v>Trung tâm Vận hành</v>
          </cell>
          <cell r="E119" t="str">
            <v>VP TTKT-VC</v>
          </cell>
          <cell r="F119" t="str">
            <v>Văn phòng</v>
          </cell>
          <cell r="H119" t="str">
            <v>Desktop</v>
          </cell>
          <cell r="J119" t="str">
            <v>Lắp ráp ĐNA</v>
          </cell>
          <cell r="K119">
            <v>0</v>
          </cell>
          <cell r="L119">
            <v>2016</v>
          </cell>
          <cell r="M119" t="str">
            <v>Không đáp ứng cần nâng cấp</v>
          </cell>
          <cell r="N119" t="str">
            <v>Intel G2030 3.0GHz</v>
          </cell>
          <cell r="O119" t="str">
            <v>2GB</v>
          </cell>
          <cell r="P119" t="str">
            <v>HDD 500GB</v>
          </cell>
          <cell r="Q119" t="str">
            <v/>
          </cell>
        </row>
        <row r="120">
          <cell r="A120">
            <v>531130</v>
          </cell>
          <cell r="B120">
            <v>5309</v>
          </cell>
          <cell r="C120" t="str">
            <v>Văn phòng BĐTP Huế</v>
          </cell>
          <cell r="D120" t="str">
            <v>VP BĐ TP Huế</v>
          </cell>
          <cell r="E120" t="str">
            <v>Bưu cục VP Bưu điện Thành phố Huế</v>
          </cell>
          <cell r="F120" t="str">
            <v>Văn phòng</v>
          </cell>
          <cell r="G120" t="str">
            <v>Dương Mỹ Mộng Điệp</v>
          </cell>
          <cell r="H120" t="str">
            <v>Laptop</v>
          </cell>
          <cell r="I120" t="str">
            <v>HUE-TCKT-DIEPLAP</v>
          </cell>
          <cell r="J120" t="str">
            <v>HP Pavillion 15cs-2060tx</v>
          </cell>
          <cell r="K120">
            <v>14</v>
          </cell>
          <cell r="L120">
            <v>2019</v>
          </cell>
          <cell r="M120" t="str">
            <v>Nhanh</v>
          </cell>
          <cell r="N120" t="str">
            <v>Intel i5 8265U</v>
          </cell>
          <cell r="O120" t="str">
            <v>8GB</v>
          </cell>
          <cell r="P120" t="str">
            <v>SSD 256GB</v>
          </cell>
          <cell r="Q120" t="str">
            <v>Microsoft Windows 11</v>
          </cell>
        </row>
        <row r="121">
          <cell r="A121">
            <v>531130</v>
          </cell>
          <cell r="B121">
            <v>5309</v>
          </cell>
          <cell r="C121" t="str">
            <v>Văn phòng BĐTP Huế</v>
          </cell>
          <cell r="D121" t="str">
            <v>VP BĐ TP Huế</v>
          </cell>
          <cell r="E121" t="str">
            <v>TCHC</v>
          </cell>
          <cell r="F121" t="str">
            <v>Văn phòng</v>
          </cell>
          <cell r="G121" t="str">
            <v>Hồ Văn Kỳ</v>
          </cell>
          <cell r="H121" t="str">
            <v>Laptop</v>
          </cell>
          <cell r="I121" t="str">
            <v>HUE-TCHC-KYLAP</v>
          </cell>
          <cell r="J121" t="str">
            <v>Vostro 15 3510</v>
          </cell>
          <cell r="K121">
            <v>14</v>
          </cell>
          <cell r="L121">
            <v>2020</v>
          </cell>
          <cell r="M121" t="str">
            <v>Nhanh</v>
          </cell>
          <cell r="N121" t="str">
            <v>Intel i5 1135G7</v>
          </cell>
          <cell r="O121" t="str">
            <v>8GB</v>
          </cell>
          <cell r="P121" t="str">
            <v>SSD 512GB</v>
          </cell>
          <cell r="Q121" t="str">
            <v>Microsoft Windows 11</v>
          </cell>
        </row>
        <row r="122">
          <cell r="A122">
            <v>531130</v>
          </cell>
          <cell r="B122">
            <v>5309</v>
          </cell>
          <cell r="C122" t="str">
            <v>Văn phòng BĐTP Huế</v>
          </cell>
          <cell r="D122" t="str">
            <v>VP BĐ TP Huế</v>
          </cell>
          <cell r="E122" t="str">
            <v>TTKD</v>
          </cell>
          <cell r="F122" t="str">
            <v>Văn phòng</v>
          </cell>
          <cell r="G122" t="str">
            <v>Hoàng Đức Dũng</v>
          </cell>
          <cell r="H122" t="str">
            <v>Laptop</v>
          </cell>
          <cell r="J122" t="str">
            <v>HP Pavillion 15cs-2060tx</v>
          </cell>
          <cell r="K122">
            <v>0</v>
          </cell>
          <cell r="L122">
            <v>2019</v>
          </cell>
          <cell r="M122" t="str">
            <v>Nhanh</v>
          </cell>
          <cell r="N122" t="str">
            <v>Intel i5 8265U</v>
          </cell>
          <cell r="O122" t="str">
            <v>8GB</v>
          </cell>
          <cell r="P122" t="str">
            <v>SSD 256GB</v>
          </cell>
          <cell r="Q122" t="str">
            <v/>
          </cell>
        </row>
        <row r="123">
          <cell r="A123">
            <v>531130</v>
          </cell>
          <cell r="B123">
            <v>5309</v>
          </cell>
          <cell r="C123" t="str">
            <v>Văn phòng BĐTP Huế</v>
          </cell>
          <cell r="D123" t="str">
            <v>VP BĐ TP Huế</v>
          </cell>
          <cell r="E123" t="str">
            <v>BGĐ</v>
          </cell>
          <cell r="F123" t="str">
            <v>Văn phòng</v>
          </cell>
          <cell r="G123" t="str">
            <v>Mai Văn Mười</v>
          </cell>
          <cell r="H123" t="str">
            <v>Laptop</v>
          </cell>
          <cell r="J123" t="str">
            <v>Vostro 14 3000</v>
          </cell>
          <cell r="K123">
            <v>0</v>
          </cell>
          <cell r="L123">
            <v>2020</v>
          </cell>
          <cell r="M123" t="str">
            <v>Nhanh</v>
          </cell>
          <cell r="N123" t="str">
            <v>Intel i5 1135G7</v>
          </cell>
          <cell r="O123" t="str">
            <v>8GB</v>
          </cell>
          <cell r="P123" t="str">
            <v>SSD 256GB</v>
          </cell>
          <cell r="Q123" t="str">
            <v/>
          </cell>
        </row>
        <row r="124">
          <cell r="A124">
            <v>531130</v>
          </cell>
          <cell r="B124">
            <v>5309</v>
          </cell>
          <cell r="C124" t="str">
            <v>Văn phòng BĐTP Huế</v>
          </cell>
          <cell r="D124" t="str">
            <v>VP BĐ TP Huế</v>
          </cell>
          <cell r="E124" t="str">
            <v>VP Trung tâm Vận hành</v>
          </cell>
          <cell r="F124" t="str">
            <v>Văn phòng</v>
          </cell>
          <cell r="G124" t="str">
            <v>Phòng KTNV</v>
          </cell>
          <cell r="H124" t="str">
            <v>Laptop</v>
          </cell>
          <cell r="I124" t="str">
            <v>HUE-KTNV-PVU</v>
          </cell>
          <cell r="J124" t="str">
            <v>HP Probook 440 G5</v>
          </cell>
          <cell r="K124">
            <v>12</v>
          </cell>
          <cell r="L124">
            <v>2018</v>
          </cell>
          <cell r="M124" t="str">
            <v>Đáp ứng</v>
          </cell>
          <cell r="N124" t="str">
            <v>Intel i3 8130U</v>
          </cell>
          <cell r="O124" t="str">
            <v>4GB</v>
          </cell>
          <cell r="P124" t="str">
            <v>SSD 256GB</v>
          </cell>
          <cell r="Q124" t="str">
            <v>Microsoft Windows 10</v>
          </cell>
        </row>
        <row r="125">
          <cell r="A125">
            <v>531130</v>
          </cell>
          <cell r="B125">
            <v>5309</v>
          </cell>
          <cell r="C125" t="str">
            <v>Văn phòng BĐTP Huế</v>
          </cell>
          <cell r="D125" t="str">
            <v>VP BĐ TP Huế</v>
          </cell>
          <cell r="E125" t="str">
            <v>VP Trung tâm Vận hành</v>
          </cell>
          <cell r="F125" t="str">
            <v>Văn phòng</v>
          </cell>
          <cell r="G125" t="str">
            <v>Phòng KTNV</v>
          </cell>
          <cell r="H125" t="str">
            <v>Laptop</v>
          </cell>
          <cell r="J125" t="str">
            <v>Dell Latitude 3460</v>
          </cell>
          <cell r="K125">
            <v>0</v>
          </cell>
          <cell r="L125">
            <v>2018</v>
          </cell>
          <cell r="M125" t="str">
            <v>Chậm</v>
          </cell>
          <cell r="N125" t="str">
            <v>Intel i3 5005U</v>
          </cell>
          <cell r="O125" t="str">
            <v>4GB</v>
          </cell>
          <cell r="P125" t="str">
            <v>HDD 500GB</v>
          </cell>
          <cell r="Q125" t="str">
            <v/>
          </cell>
        </row>
        <row r="126">
          <cell r="A126">
            <v>531130</v>
          </cell>
          <cell r="B126">
            <v>5309</v>
          </cell>
          <cell r="C126" t="str">
            <v>Văn phòng BĐTP Huế</v>
          </cell>
          <cell r="D126" t="str">
            <v>VP BĐ TP Huế</v>
          </cell>
          <cell r="E126" t="str">
            <v>VP Trung tâm Vận hành</v>
          </cell>
          <cell r="F126" t="str">
            <v>Văn phòng</v>
          </cell>
          <cell r="G126" t="str">
            <v>Tuấn</v>
          </cell>
          <cell r="H126" t="str">
            <v>Desktop</v>
          </cell>
          <cell r="J126" t="str">
            <v>Dell Optiplex 5060</v>
          </cell>
          <cell r="K126">
            <v>0</v>
          </cell>
          <cell r="L126">
            <v>2019</v>
          </cell>
          <cell r="M126" t="str">
            <v>Đáp ứng</v>
          </cell>
          <cell r="N126" t="str">
            <v>Intel i3-8100 3.20GHz</v>
          </cell>
          <cell r="O126" t="str">
            <v>4GB</v>
          </cell>
          <cell r="P126" t="str">
            <v>SSD 512GB</v>
          </cell>
          <cell r="Q126" t="str">
            <v/>
          </cell>
        </row>
        <row r="127">
          <cell r="A127">
            <v>530900</v>
          </cell>
          <cell r="B127">
            <v>5311</v>
          </cell>
          <cell r="C127" t="str">
            <v>KTC1 Huế 1</v>
          </cell>
          <cell r="D127" t="str">
            <v>Trung tâm Vận hành</v>
          </cell>
          <cell r="E127" t="str">
            <v>Bưu cục Hệ 1 (KT1)</v>
          </cell>
          <cell r="F127" t="str">
            <v>Bưu cục Hệ 1 (KT1)</v>
          </cell>
          <cell r="G127" t="str">
            <v>SortingApp</v>
          </cell>
          <cell r="H127" t="str">
            <v>Desktop</v>
          </cell>
          <cell r="I127" t="str">
            <v>HUE-KTVC-KTT03</v>
          </cell>
          <cell r="J127" t="str">
            <v>Lắp ráp ĐNA</v>
          </cell>
          <cell r="K127">
            <v>14</v>
          </cell>
          <cell r="L127">
            <v>2016</v>
          </cell>
          <cell r="M127" t="str">
            <v>Chậm</v>
          </cell>
          <cell r="N127" t="str">
            <v>Intel G4400 3.3GHz</v>
          </cell>
          <cell r="O127" t="str">
            <v>4GB</v>
          </cell>
          <cell r="P127" t="str">
            <v>HDD 500GB</v>
          </cell>
          <cell r="Q127" t="str">
            <v>Microsoft Windows 10</v>
          </cell>
        </row>
        <row r="128">
          <cell r="A128">
            <v>530100</v>
          </cell>
          <cell r="B128">
            <v>5311</v>
          </cell>
          <cell r="C128" t="str">
            <v>KTC1 Huế 1</v>
          </cell>
          <cell r="D128" t="str">
            <v>Trung tâm Vận hành</v>
          </cell>
          <cell r="E128" t="str">
            <v>Bưu cục KT tỉnh</v>
          </cell>
          <cell r="F128" t="str">
            <v>Bưu cục khai thác tỉnh</v>
          </cell>
          <cell r="G128" t="str">
            <v>SortingApp</v>
          </cell>
          <cell r="H128" t="str">
            <v>Desktop</v>
          </cell>
          <cell r="I128" t="str">
            <v>HUE-KTVC-KTT04</v>
          </cell>
          <cell r="J128" t="str">
            <v>Dell Optiplex 3050</v>
          </cell>
          <cell r="K128">
            <v>14</v>
          </cell>
          <cell r="L128">
            <v>2018</v>
          </cell>
          <cell r="M128" t="str">
            <v>Đáp ứng</v>
          </cell>
          <cell r="N128" t="str">
            <v>Intel i3 7100T 3.4GHz</v>
          </cell>
          <cell r="O128" t="str">
            <v>8GB</v>
          </cell>
          <cell r="P128" t="str">
            <v>SSD 120GB</v>
          </cell>
          <cell r="Q128" t="str">
            <v>Microsoft Windows 10</v>
          </cell>
        </row>
        <row r="129">
          <cell r="A129">
            <v>530100</v>
          </cell>
          <cell r="B129">
            <v>5311</v>
          </cell>
          <cell r="C129" t="str">
            <v>KTC1 Huế 1</v>
          </cell>
          <cell r="D129" t="str">
            <v>Trung tâm Vận hành</v>
          </cell>
          <cell r="E129" t="str">
            <v>Bưu cục KT tỉnh</v>
          </cell>
          <cell r="F129" t="str">
            <v>Bưu cục khai thác tỉnh</v>
          </cell>
          <cell r="G129" t="str">
            <v>SortingApp</v>
          </cell>
          <cell r="H129" t="str">
            <v>Desktop</v>
          </cell>
          <cell r="I129" t="str">
            <v>HUE-KTVC-KTT07</v>
          </cell>
          <cell r="J129" t="str">
            <v>Dell Optiplex 3050</v>
          </cell>
          <cell r="K129">
            <v>14</v>
          </cell>
          <cell r="L129">
            <v>2018</v>
          </cell>
          <cell r="M129" t="str">
            <v>Đáp ứng</v>
          </cell>
          <cell r="N129" t="str">
            <v>Intel i3 7100T 3.4GHz</v>
          </cell>
          <cell r="O129" t="str">
            <v>4GB</v>
          </cell>
          <cell r="P129" t="str">
            <v>SSD 120GB</v>
          </cell>
          <cell r="Q129" t="str">
            <v>Microsoft Windows 10</v>
          </cell>
        </row>
        <row r="130">
          <cell r="A130">
            <v>530100</v>
          </cell>
          <cell r="B130">
            <v>5311</v>
          </cell>
          <cell r="C130" t="str">
            <v>KTC1 Huế 1</v>
          </cell>
          <cell r="D130" t="str">
            <v>Trung tâm Vận hành</v>
          </cell>
          <cell r="E130" t="str">
            <v>Bưu cục KT tỉnh</v>
          </cell>
          <cell r="F130" t="str">
            <v>Bưu cục khai thác tỉnh</v>
          </cell>
          <cell r="G130" t="str">
            <v>SortingApp</v>
          </cell>
          <cell r="H130" t="str">
            <v>Desktop</v>
          </cell>
          <cell r="I130" t="str">
            <v>HUE-KTVC-KTT06</v>
          </cell>
          <cell r="J130" t="str">
            <v>Dell Optiplex 3020</v>
          </cell>
          <cell r="K130">
            <v>14</v>
          </cell>
          <cell r="L130">
            <v>2016</v>
          </cell>
          <cell r="M130" t="str">
            <v>Không đáp ứng cần nâng cấp</v>
          </cell>
          <cell r="N130" t="str">
            <v>Intel i3 4160T 3.1GHz</v>
          </cell>
          <cell r="O130" t="str">
            <v>4GB</v>
          </cell>
          <cell r="P130" t="str">
            <v>SSD 120GB</v>
          </cell>
          <cell r="Q130" t="str">
            <v>Microsoft Windows 10</v>
          </cell>
        </row>
        <row r="131">
          <cell r="A131">
            <v>530100</v>
          </cell>
          <cell r="B131">
            <v>5311</v>
          </cell>
          <cell r="C131" t="str">
            <v>KTC1 Huế 1</v>
          </cell>
          <cell r="D131" t="str">
            <v>Trung tâm Vận hành</v>
          </cell>
          <cell r="E131" t="str">
            <v>Bưu cục KT tỉnh</v>
          </cell>
          <cell r="F131" t="str">
            <v>Bưu cục khai thác tỉnh</v>
          </cell>
          <cell r="G131" t="str">
            <v>SortingApp</v>
          </cell>
          <cell r="H131" t="str">
            <v>Desktop</v>
          </cell>
          <cell r="I131" t="str">
            <v>HUE-KTVC-KTT09</v>
          </cell>
          <cell r="J131" t="str">
            <v>Lắp ráp ĐNA</v>
          </cell>
          <cell r="K131">
            <v>14</v>
          </cell>
          <cell r="L131">
            <v>2023</v>
          </cell>
          <cell r="M131" t="str">
            <v>Nhanh</v>
          </cell>
          <cell r="N131" t="str">
            <v>Intel G6405 4.1GHz</v>
          </cell>
          <cell r="O131" t="str">
            <v>16GB</v>
          </cell>
          <cell r="P131" t="str">
            <v>SSD 250GB</v>
          </cell>
          <cell r="Q131" t="str">
            <v>Microsoft Windows 11</v>
          </cell>
        </row>
        <row r="132">
          <cell r="A132">
            <v>530100</v>
          </cell>
          <cell r="B132">
            <v>5311</v>
          </cell>
          <cell r="C132" t="str">
            <v>KTC1 Huế 1</v>
          </cell>
          <cell r="D132" t="str">
            <v>Trung tâm Vận hành</v>
          </cell>
          <cell r="E132" t="str">
            <v>BC Khai thác tỉnh</v>
          </cell>
          <cell r="F132" t="str">
            <v>Bưu cục khai thác tỉnh</v>
          </cell>
          <cell r="H132" t="str">
            <v>Desktop</v>
          </cell>
          <cell r="I132" t="str">
            <v>HUE-KTVC-KTT01</v>
          </cell>
          <cell r="J132" t="str">
            <v>HP Prodesk 600 G5</v>
          </cell>
          <cell r="K132">
            <v>14</v>
          </cell>
          <cell r="L132">
            <v>2020</v>
          </cell>
          <cell r="M132" t="str">
            <v>Nhanh</v>
          </cell>
          <cell r="N132" t="str">
            <v>Intel i3 9100T 3.1GHz</v>
          </cell>
          <cell r="O132" t="str">
            <v>4GB</v>
          </cell>
          <cell r="P132" t="str">
            <v>SSD 120GB</v>
          </cell>
          <cell r="Q132" t="str">
            <v>Microsoft Windows 11</v>
          </cell>
        </row>
        <row r="133">
          <cell r="A133">
            <v>530100</v>
          </cell>
          <cell r="B133">
            <v>5311</v>
          </cell>
          <cell r="C133" t="str">
            <v>KTC1 Huế 1</v>
          </cell>
          <cell r="D133" t="str">
            <v>Trung tâm Vận hành</v>
          </cell>
          <cell r="E133" t="str">
            <v>BC Khai thác tỉnh</v>
          </cell>
          <cell r="F133" t="str">
            <v>Bưu cục khai thác tỉnh</v>
          </cell>
          <cell r="H133" t="str">
            <v>Desktop</v>
          </cell>
          <cell r="I133" t="str">
            <v>HUE-KTVC-KTT05</v>
          </cell>
          <cell r="J133" t="str">
            <v>Dell Optiplex 3050</v>
          </cell>
          <cell r="K133">
            <v>14</v>
          </cell>
          <cell r="L133">
            <v>2018</v>
          </cell>
          <cell r="M133" t="str">
            <v>Đáp ứng</v>
          </cell>
          <cell r="N133" t="str">
            <v>Intel i3 7100T 3.4GHz</v>
          </cell>
          <cell r="O133" t="str">
            <v>4GB</v>
          </cell>
          <cell r="P133" t="str">
            <v>SSD 120GB</v>
          </cell>
          <cell r="Q133" t="str">
            <v>Microsoft Windows 10</v>
          </cell>
        </row>
        <row r="134">
          <cell r="A134">
            <v>530100</v>
          </cell>
          <cell r="B134">
            <v>5311</v>
          </cell>
          <cell r="C134" t="str">
            <v>KTC1 Huế 1</v>
          </cell>
          <cell r="D134" t="str">
            <v>Trung tâm Vận hành</v>
          </cell>
          <cell r="E134" t="str">
            <v>BC Khai thác tỉnh</v>
          </cell>
          <cell r="F134" t="str">
            <v>Bưu cục khai thác tỉnh</v>
          </cell>
          <cell r="G134" t="str">
            <v>Cửa giao nhận trái</v>
          </cell>
          <cell r="H134" t="str">
            <v>Desktop</v>
          </cell>
          <cell r="I134" t="str">
            <v>HUE-KTVC-KTT08</v>
          </cell>
          <cell r="J134" t="str">
            <v>Dell Optiplex 3050</v>
          </cell>
          <cell r="K134">
            <v>14</v>
          </cell>
          <cell r="L134">
            <v>2018</v>
          </cell>
          <cell r="M134" t="str">
            <v>Đáp ứng</v>
          </cell>
          <cell r="N134" t="str">
            <v>Intel i3 7100T 3.4GHz</v>
          </cell>
          <cell r="O134" t="str">
            <v>8GB</v>
          </cell>
          <cell r="P134" t="str">
            <v>SSD 120GB</v>
          </cell>
          <cell r="Q134" t="str">
            <v>Microsoft Windows 10</v>
          </cell>
        </row>
        <row r="135">
          <cell r="A135">
            <v>530100</v>
          </cell>
          <cell r="B135">
            <v>5311</v>
          </cell>
          <cell r="C135" t="str">
            <v>KTC1 Huế 1</v>
          </cell>
          <cell r="D135" t="str">
            <v>Trung tâm Vận hành</v>
          </cell>
          <cell r="E135" t="str">
            <v>BC Khai thác tỉnh</v>
          </cell>
          <cell r="F135" t="str">
            <v>Bưu cục khai thác tỉnh</v>
          </cell>
          <cell r="G135" t="str">
            <v>Cửa giao nhận phải</v>
          </cell>
          <cell r="H135" t="str">
            <v>Desktop</v>
          </cell>
          <cell r="I135" t="str">
            <v>HUE-KTVC-KTT02</v>
          </cell>
          <cell r="J135" t="str">
            <v>Lắp ráp ĐNA</v>
          </cell>
          <cell r="K135">
            <v>14</v>
          </cell>
          <cell r="L135">
            <v>2023</v>
          </cell>
          <cell r="M135" t="str">
            <v>Nhanh</v>
          </cell>
          <cell r="N135" t="str">
            <v>Intel G6405 4.1GHz</v>
          </cell>
          <cell r="O135" t="str">
            <v>16GB</v>
          </cell>
          <cell r="P135" t="str">
            <v>SSD 250GB</v>
          </cell>
          <cell r="Q135" t="str">
            <v>Microsoft Windows 10</v>
          </cell>
        </row>
        <row r="136">
          <cell r="A136">
            <v>536200</v>
          </cell>
          <cell r="B136">
            <v>5312</v>
          </cell>
          <cell r="C136" t="str">
            <v>Bưu điện phường Thanh Thủy</v>
          </cell>
          <cell r="D136" t="str">
            <v>Bưu điện KV Hương Thủy</v>
          </cell>
          <cell r="E136" t="str">
            <v>Bưu cục Thủy Dương</v>
          </cell>
          <cell r="F136" t="str">
            <v>Bưu cục giao dịch cấp 3</v>
          </cell>
          <cell r="H136" t="str">
            <v>Desktop</v>
          </cell>
          <cell r="I136" t="str">
            <v>HUE-HTY-TDG</v>
          </cell>
          <cell r="J136" t="str">
            <v>POSBANK APEXA II (3020M)</v>
          </cell>
          <cell r="K136">
            <v>11</v>
          </cell>
          <cell r="L136">
            <v>2021</v>
          </cell>
          <cell r="M136" t="str">
            <v>Đáp ứng</v>
          </cell>
          <cell r="N136" t="str">
            <v>Intel J1900 2.42GHz</v>
          </cell>
          <cell r="O136" t="str">
            <v>4GB</v>
          </cell>
          <cell r="P136" t="str">
            <v>SSD 120GB</v>
          </cell>
          <cell r="Q136" t="str">
            <v>Microsoft Windows 10</v>
          </cell>
        </row>
        <row r="137">
          <cell r="A137">
            <v>536210</v>
          </cell>
          <cell r="B137">
            <v>5312</v>
          </cell>
          <cell r="C137" t="str">
            <v>Bưu điện phường Thanh Thủy</v>
          </cell>
          <cell r="D137" t="str">
            <v>Bưu điện KV Hương Thủy</v>
          </cell>
          <cell r="E137" t="str">
            <v>VHX Thủy Phương</v>
          </cell>
          <cell r="F137" t="str">
            <v>Bưu điện VHX</v>
          </cell>
          <cell r="H137" t="str">
            <v>Desktop</v>
          </cell>
          <cell r="I137" t="str">
            <v>HUE-HTY-TPG2</v>
          </cell>
          <cell r="J137" t="str">
            <v>Lắp ráp Lắp ráp ĐNA</v>
          </cell>
          <cell r="K137">
            <v>12</v>
          </cell>
          <cell r="L137">
            <v>2018</v>
          </cell>
          <cell r="M137" t="str">
            <v>Nhanh</v>
          </cell>
          <cell r="N137" t="str">
            <v>Intel G3240 3.1GHz</v>
          </cell>
          <cell r="O137" t="str">
            <v>4GB</v>
          </cell>
          <cell r="P137" t="str">
            <v>SSD 120GB</v>
          </cell>
          <cell r="Q137" t="str">
            <v>Microsoft Windows 10</v>
          </cell>
        </row>
        <row r="138">
          <cell r="A138">
            <v>536210</v>
          </cell>
          <cell r="B138">
            <v>5312</v>
          </cell>
          <cell r="C138" t="str">
            <v>Bưu điện phường Thanh Thủy</v>
          </cell>
          <cell r="D138" t="str">
            <v>Bưu điện KV Hương Thủy</v>
          </cell>
          <cell r="E138" t="str">
            <v>VHX Thủy Phương</v>
          </cell>
          <cell r="F138" t="str">
            <v>Bưu điện VHX</v>
          </cell>
          <cell r="H138" t="str">
            <v>Desktop</v>
          </cell>
          <cell r="I138" t="str">
            <v>HUE-HTY-TPG1</v>
          </cell>
          <cell r="J138" t="str">
            <v>Dell Optiplex 3040</v>
          </cell>
          <cell r="K138">
            <v>12</v>
          </cell>
          <cell r="L138">
            <v>2018</v>
          </cell>
          <cell r="M138" t="str">
            <v>Nhanh</v>
          </cell>
          <cell r="N138" t="str">
            <v>Intel i3-6100 3.20GHz</v>
          </cell>
          <cell r="O138" t="str">
            <v>4GB</v>
          </cell>
          <cell r="P138" t="str">
            <v>SSD 120GB</v>
          </cell>
          <cell r="Q138" t="str">
            <v>Microsoft Windows 10</v>
          </cell>
        </row>
        <row r="139">
          <cell r="A139">
            <v>536180</v>
          </cell>
          <cell r="B139">
            <v>5312</v>
          </cell>
          <cell r="C139" t="str">
            <v>Bưu điện phường Thanh Thủy</v>
          </cell>
          <cell r="D139" t="str">
            <v>Bưu điện KV Hương Thủy</v>
          </cell>
          <cell r="E139" t="str">
            <v>VHX Thủy Thanh</v>
          </cell>
          <cell r="F139" t="str">
            <v>Bưu điện VHX</v>
          </cell>
          <cell r="H139" t="str">
            <v>Desktop</v>
          </cell>
          <cell r="I139" t="str">
            <v>HUE-HTY-TTH</v>
          </cell>
          <cell r="J139" t="str">
            <v>Lắp ráp Lắp ráp ĐNA</v>
          </cell>
          <cell r="K139">
            <v>11</v>
          </cell>
          <cell r="L139">
            <v>2020</v>
          </cell>
          <cell r="M139" t="str">
            <v>Chậm</v>
          </cell>
          <cell r="N139" t="str">
            <v>Intel i3 4150 3.50 GHz</v>
          </cell>
          <cell r="O139" t="str">
            <v>4GB</v>
          </cell>
          <cell r="P139" t="str">
            <v>SSD 250GB</v>
          </cell>
          <cell r="Q139" t="str">
            <v>Microsoft Windows 10</v>
          </cell>
        </row>
        <row r="140">
          <cell r="A140">
            <v>536161</v>
          </cell>
          <cell r="B140">
            <v>5313</v>
          </cell>
          <cell r="C140" t="str">
            <v>Bưu điện phường Hương Thủy</v>
          </cell>
          <cell r="D140" t="str">
            <v>Bưu điện KV Hương Thủy</v>
          </cell>
          <cell r="E140" t="str">
            <v>VHX Thủy Châu</v>
          </cell>
          <cell r="F140" t="str">
            <v>Bưu điện VHX</v>
          </cell>
          <cell r="H140" t="str">
            <v>Desktop</v>
          </cell>
          <cell r="I140" t="str">
            <v>HUE-HTY-TCU</v>
          </cell>
          <cell r="J140" t="str">
            <v>Lắp ráp Lắp ráp ĐNA</v>
          </cell>
          <cell r="K140">
            <v>11</v>
          </cell>
          <cell r="L140">
            <v>2018</v>
          </cell>
          <cell r="M140" t="str">
            <v>Chậm</v>
          </cell>
          <cell r="N140" t="str">
            <v>Intel G3250 3.2GHz</v>
          </cell>
          <cell r="O140" t="str">
            <v>4GB</v>
          </cell>
          <cell r="P140" t="str">
            <v>SSD 250GB</v>
          </cell>
          <cell r="Q140" t="str">
            <v>Microsoft Windows 10</v>
          </cell>
        </row>
        <row r="141">
          <cell r="A141">
            <v>536150</v>
          </cell>
          <cell r="B141">
            <v>5313</v>
          </cell>
          <cell r="C141" t="str">
            <v>Bưu điện phường Hương Thủy</v>
          </cell>
          <cell r="D141" t="str">
            <v>Bưu điện KV Hương Thủy</v>
          </cell>
          <cell r="E141" t="str">
            <v>VHX Thủy Lương</v>
          </cell>
          <cell r="F141" t="str">
            <v>Bưu điện VHX</v>
          </cell>
          <cell r="H141" t="str">
            <v>Desktop</v>
          </cell>
          <cell r="I141" t="str">
            <v>HUE-HTY-TLG</v>
          </cell>
          <cell r="J141" t="str">
            <v>Lắp ráp Lắp ráp ĐNA</v>
          </cell>
          <cell r="K141">
            <v>11</v>
          </cell>
          <cell r="L141">
            <v>2018</v>
          </cell>
          <cell r="M141" t="str">
            <v>Nhanh</v>
          </cell>
          <cell r="N141" t="str">
            <v>Intel i3-3250 3.5GHz</v>
          </cell>
          <cell r="O141" t="str">
            <v>4GB</v>
          </cell>
          <cell r="P141" t="str">
            <v>SSD 120GB</v>
          </cell>
          <cell r="Q141" t="str">
            <v>Microsoft Windows 10</v>
          </cell>
        </row>
        <row r="142">
          <cell r="A142">
            <v>536140</v>
          </cell>
          <cell r="B142">
            <v>5313</v>
          </cell>
          <cell r="C142" t="str">
            <v>Bưu điện phường Hương Thủy</v>
          </cell>
          <cell r="D142" t="str">
            <v>Bưu điện KV Hương Thủy</v>
          </cell>
          <cell r="E142" t="str">
            <v>VHX Thủy Tân</v>
          </cell>
          <cell r="F142" t="str">
            <v>Bưu điện VHX</v>
          </cell>
          <cell r="H142" t="str">
            <v>Desktop</v>
          </cell>
          <cell r="I142" t="str">
            <v>HUE-HTY-TTN</v>
          </cell>
          <cell r="J142" t="str">
            <v>Dell Optiplex 5060</v>
          </cell>
          <cell r="K142">
            <v>11</v>
          </cell>
          <cell r="L142">
            <v>2017</v>
          </cell>
          <cell r="M142" t="str">
            <v>Chậm</v>
          </cell>
          <cell r="N142" t="str">
            <v>Intel i3-8100 3.20GHz</v>
          </cell>
          <cell r="O142" t="str">
            <v>4GB</v>
          </cell>
          <cell r="P142" t="str">
            <v>HDD 500GB</v>
          </cell>
          <cell r="Q142" t="str">
            <v>Microsoft Windows 10</v>
          </cell>
        </row>
        <row r="143">
          <cell r="A143">
            <v>536327</v>
          </cell>
          <cell r="B143">
            <v>5314</v>
          </cell>
          <cell r="C143" t="str">
            <v>Bưu điện phường Phú Bài</v>
          </cell>
          <cell r="D143" t="str">
            <v>Bưu điện KV Hương Thủy</v>
          </cell>
          <cell r="E143" t="str">
            <v>Bưu cục VP Bưu điện thị xã Hương Thủy</v>
          </cell>
          <cell r="F143" t="str">
            <v>Văn phòng</v>
          </cell>
          <cell r="G143" t="str">
            <v>Dương Thị Nam Phương</v>
          </cell>
          <cell r="H143" t="str">
            <v>Desktop</v>
          </cell>
          <cell r="I143" t="str">
            <v>HUE-HTY-DTNPHG</v>
          </cell>
          <cell r="J143" t="str">
            <v>Lắp ráp Lắp ráp ĐNA</v>
          </cell>
          <cell r="K143">
            <v>14</v>
          </cell>
          <cell r="L143">
            <v>2020</v>
          </cell>
          <cell r="M143" t="str">
            <v>Đáp ứng</v>
          </cell>
          <cell r="N143" t="str">
            <v>Intel i3-7100 3.9GHz</v>
          </cell>
          <cell r="O143" t="str">
            <v>4GB</v>
          </cell>
          <cell r="P143" t="str">
            <v>SSD 120GB</v>
          </cell>
          <cell r="Q143" t="str">
            <v>Microsoft Windows 7</v>
          </cell>
        </row>
        <row r="144">
          <cell r="A144">
            <v>536327</v>
          </cell>
          <cell r="B144">
            <v>5314</v>
          </cell>
          <cell r="C144" t="str">
            <v>Bưu điện phường Phú Bài</v>
          </cell>
          <cell r="D144" t="str">
            <v>Bưu điện KV Hương Thủy</v>
          </cell>
          <cell r="E144" t="str">
            <v>Bưu cục VP Bưu điện thị xã Hương Thủy</v>
          </cell>
          <cell r="F144" t="str">
            <v>Văn phòng</v>
          </cell>
          <cell r="G144" t="str">
            <v>Kế toán</v>
          </cell>
          <cell r="H144" t="str">
            <v>Desktop</v>
          </cell>
          <cell r="I144" t="str">
            <v>HUE-HTY-TRUONG</v>
          </cell>
          <cell r="J144" t="str">
            <v>HP Prodesk 600 G5</v>
          </cell>
          <cell r="K144">
            <v>14</v>
          </cell>
          <cell r="L144">
            <v>2020</v>
          </cell>
          <cell r="M144" t="str">
            <v>Nhanh</v>
          </cell>
          <cell r="N144" t="str">
            <v>Intel i3 9100T 3.1GHz</v>
          </cell>
          <cell r="O144" t="str">
            <v>4GB</v>
          </cell>
          <cell r="P144" t="str">
            <v>SSD 120GB</v>
          </cell>
          <cell r="Q144" t="str">
            <v>Microsoft Windows 11</v>
          </cell>
        </row>
        <row r="145">
          <cell r="A145">
            <v>536327</v>
          </cell>
          <cell r="B145">
            <v>5314</v>
          </cell>
          <cell r="C145" t="str">
            <v>Bưu điện phường Phú Bài</v>
          </cell>
          <cell r="D145" t="str">
            <v>Bưu điện KV Hương Thủy</v>
          </cell>
          <cell r="E145" t="str">
            <v>Bưu cục VP Bưu điện thị xã Hương Thủy</v>
          </cell>
          <cell r="F145" t="str">
            <v>Văn phòng</v>
          </cell>
          <cell r="G145" t="str">
            <v>Nguyễn Công Điệp</v>
          </cell>
          <cell r="H145" t="str">
            <v>Desktop</v>
          </cell>
          <cell r="I145" t="str">
            <v>HUE-HTY-DIEPNC</v>
          </cell>
          <cell r="J145" t="str">
            <v>Lắp ráp Lắp ráp ĐNA</v>
          </cell>
          <cell r="K145">
            <v>14</v>
          </cell>
          <cell r="L145">
            <v>2020</v>
          </cell>
          <cell r="M145" t="str">
            <v>Đáp ứng</v>
          </cell>
          <cell r="N145" t="str">
            <v>Intel G3220 3.0GHz</v>
          </cell>
          <cell r="O145" t="str">
            <v>4GB</v>
          </cell>
          <cell r="P145" t="str">
            <v>SSD 120GB</v>
          </cell>
          <cell r="Q145" t="str">
            <v>Microsoft Windows 10</v>
          </cell>
        </row>
        <row r="146">
          <cell r="A146">
            <v>536327</v>
          </cell>
          <cell r="B146">
            <v>5314</v>
          </cell>
          <cell r="C146" t="str">
            <v>Bưu điện phường Phú Bài</v>
          </cell>
          <cell r="D146" t="str">
            <v>Bưu điện KV Hương Thủy</v>
          </cell>
          <cell r="E146" t="str">
            <v>Bưu cục VP Bưu điện thị xã Hương Thủy</v>
          </cell>
          <cell r="F146" t="str">
            <v>Văn phòng</v>
          </cell>
          <cell r="G146" t="str">
            <v>Nguyễn Thị Phương</v>
          </cell>
          <cell r="H146" t="str">
            <v>Desktop</v>
          </cell>
          <cell r="I146" t="str">
            <v>HUE-HTY-PHUONGN</v>
          </cell>
          <cell r="J146" t="str">
            <v>Lắp ráp Lắp ráp ĐNA</v>
          </cell>
          <cell r="K146">
            <v>15</v>
          </cell>
          <cell r="L146">
            <v>2020</v>
          </cell>
          <cell r="M146" t="str">
            <v>Đáp ứng</v>
          </cell>
          <cell r="N146" t="str">
            <v>Intel G5400 3.7GHz</v>
          </cell>
          <cell r="O146" t="str">
            <v>4GB</v>
          </cell>
          <cell r="P146" t="str">
            <v>SSD 120GB</v>
          </cell>
          <cell r="Q146" t="str">
            <v>Microsoft Windows 10</v>
          </cell>
        </row>
        <row r="147">
          <cell r="A147">
            <v>536327</v>
          </cell>
          <cell r="B147">
            <v>5314</v>
          </cell>
          <cell r="C147" t="str">
            <v>Bưu điện phường Phú Bài</v>
          </cell>
          <cell r="D147" t="str">
            <v>Bưu điện KV Hương Thủy</v>
          </cell>
          <cell r="E147" t="str">
            <v>Bưu cục VP Bưu điện thị xã Hương Thủy</v>
          </cell>
          <cell r="F147" t="str">
            <v>Văn phòng</v>
          </cell>
          <cell r="G147" t="str">
            <v>Phạm Thị Thuyền linh</v>
          </cell>
          <cell r="H147" t="str">
            <v>Desktop</v>
          </cell>
          <cell r="I147" t="str">
            <v>HTY-LINHPTT</v>
          </cell>
          <cell r="J147" t="str">
            <v>Dell Optiplex 5060</v>
          </cell>
          <cell r="K147">
            <v>11</v>
          </cell>
          <cell r="L147">
            <v>2020</v>
          </cell>
          <cell r="M147" t="str">
            <v>Đáp ứng</v>
          </cell>
          <cell r="N147" t="str">
            <v>Intel i3-8100T 3.20GHz</v>
          </cell>
          <cell r="O147" t="str">
            <v>4GB</v>
          </cell>
          <cell r="P147" t="str">
            <v>SSD 120GB</v>
          </cell>
          <cell r="Q147" t="str">
            <v>Microsoft Windows 11</v>
          </cell>
        </row>
        <row r="148">
          <cell r="A148">
            <v>536327</v>
          </cell>
          <cell r="B148">
            <v>5314</v>
          </cell>
          <cell r="C148" t="str">
            <v>Bưu điện phường Phú Bài</v>
          </cell>
          <cell r="D148" t="str">
            <v>Bưu điện KV Hương Thủy</v>
          </cell>
          <cell r="E148" t="str">
            <v>Bưu cục VP Bưu điện thị xã Hương Thủy</v>
          </cell>
          <cell r="F148" t="str">
            <v>Văn phòng</v>
          </cell>
          <cell r="G148" t="str">
            <v>Đặng Trường</v>
          </cell>
          <cell r="H148" t="str">
            <v>Desktop</v>
          </cell>
          <cell r="I148" t="str">
            <v>HTY-TRUONG</v>
          </cell>
          <cell r="J148" t="str">
            <v>Dell Optiplex 3020</v>
          </cell>
          <cell r="K148">
            <v>10</v>
          </cell>
          <cell r="L148">
            <v>2020</v>
          </cell>
          <cell r="M148" t="str">
            <v>Đáp ứng</v>
          </cell>
          <cell r="N148" t="str">
            <v>Intel i3-8100T 3.20GHz</v>
          </cell>
          <cell r="O148" t="str">
            <v>6GB</v>
          </cell>
          <cell r="P148" t="str">
            <v>SSD 120GB</v>
          </cell>
          <cell r="Q148" t="str">
            <v>Microsoft Windows 11</v>
          </cell>
        </row>
        <row r="149">
          <cell r="A149">
            <v>536327</v>
          </cell>
          <cell r="B149">
            <v>5314</v>
          </cell>
          <cell r="C149" t="str">
            <v>Bưu điện phường Phú Bài</v>
          </cell>
          <cell r="D149" t="str">
            <v>Bưu điện KV Hương Thủy</v>
          </cell>
          <cell r="E149" t="str">
            <v>Bưu cục VP Bưu điện thị xã Hương Thủy</v>
          </cell>
          <cell r="F149" t="str">
            <v>Văn phòng</v>
          </cell>
          <cell r="G149" t="str">
            <v>Trần Văn Hải</v>
          </cell>
          <cell r="H149" t="str">
            <v>Desktop</v>
          </cell>
          <cell r="I149" t="str">
            <v>HUE-HTY-HAITV</v>
          </cell>
          <cell r="J149" t="str">
            <v>Dell Optiplex 5060</v>
          </cell>
          <cell r="K149">
            <v>13</v>
          </cell>
          <cell r="L149">
            <v>2020</v>
          </cell>
          <cell r="M149" t="str">
            <v>Đáp ứng</v>
          </cell>
          <cell r="N149" t="str">
            <v>Intel i3-8100T 3.20GHz</v>
          </cell>
          <cell r="O149" t="str">
            <v>4GB</v>
          </cell>
          <cell r="P149" t="str">
            <v>SSD 120GB</v>
          </cell>
          <cell r="Q149" t="str">
            <v>Microsoft Windows 10</v>
          </cell>
        </row>
        <row r="150">
          <cell r="A150">
            <v>536327</v>
          </cell>
          <cell r="B150">
            <v>5314</v>
          </cell>
          <cell r="C150" t="str">
            <v>Bưu điện phường Phú Bài</v>
          </cell>
          <cell r="D150" t="str">
            <v>Bưu điện KV Hương Thủy</v>
          </cell>
          <cell r="E150" t="str">
            <v>Bưu cục VP Bưu điện thị xã Hương Thủy</v>
          </cell>
          <cell r="F150" t="str">
            <v>Văn phòng</v>
          </cell>
          <cell r="G150" t="str">
            <v>Văn Thị Thanh Phương</v>
          </cell>
          <cell r="H150" t="str">
            <v>Desktop</v>
          </cell>
          <cell r="I150" t="str">
            <v>HUE-HTY-PHUONGV</v>
          </cell>
          <cell r="J150" t="str">
            <v>Lắp ráp Lắp ráp ĐNA</v>
          </cell>
          <cell r="K150">
            <v>15</v>
          </cell>
          <cell r="L150">
            <v>2020</v>
          </cell>
          <cell r="M150" t="str">
            <v>Đáp ứng</v>
          </cell>
          <cell r="N150" t="str">
            <v>Intel i3 7100 3.9GHz</v>
          </cell>
          <cell r="O150" t="str">
            <v>4GB</v>
          </cell>
          <cell r="P150" t="str">
            <v>SSD 120GB</v>
          </cell>
          <cell r="Q150" t="str">
            <v>Microsoft Windows 10</v>
          </cell>
        </row>
        <row r="151">
          <cell r="A151">
            <v>536100</v>
          </cell>
          <cell r="B151">
            <v>5314</v>
          </cell>
          <cell r="C151" t="str">
            <v>Bưu điện phường Phú Bài</v>
          </cell>
          <cell r="D151" t="str">
            <v>Bưu điện KV Hương Thủy</v>
          </cell>
          <cell r="E151" t="str">
            <v>Bưu cục Hương Thủy</v>
          </cell>
          <cell r="F151" t="str">
            <v>Bưu cục giao dịch cấp 2</v>
          </cell>
          <cell r="H151" t="str">
            <v>Desktop</v>
          </cell>
          <cell r="I151" t="str">
            <v>HUE-HTY-UYENNTT</v>
          </cell>
          <cell r="J151" t="str">
            <v>Lắp ráp Lắp ráp ĐNA</v>
          </cell>
          <cell r="K151">
            <v>15</v>
          </cell>
          <cell r="L151">
            <v>2019</v>
          </cell>
          <cell r="M151" t="str">
            <v>Chậm</v>
          </cell>
          <cell r="N151" t="str">
            <v>Intel G3450 3.4GHz</v>
          </cell>
          <cell r="O151" t="str">
            <v>4GB</v>
          </cell>
          <cell r="P151" t="str">
            <v>SSD 120GB</v>
          </cell>
          <cell r="Q151" t="str">
            <v>Microsoft Windows 10</v>
          </cell>
        </row>
        <row r="152">
          <cell r="A152">
            <v>536100</v>
          </cell>
          <cell r="B152">
            <v>5314</v>
          </cell>
          <cell r="C152" t="str">
            <v>Bưu điện phường Phú Bài</v>
          </cell>
          <cell r="D152" t="str">
            <v>Bưu điện KV Hương Thủy</v>
          </cell>
          <cell r="E152" t="str">
            <v>Bưu cục Hương Thủy</v>
          </cell>
          <cell r="F152" t="str">
            <v>Bưu cục giao dịch cấp 2</v>
          </cell>
          <cell r="H152" t="str">
            <v>Desktop</v>
          </cell>
          <cell r="I152" t="str">
            <v>HUE-HTY-BCCP</v>
          </cell>
          <cell r="J152" t="str">
            <v>Dell Optiplex 3020</v>
          </cell>
          <cell r="K152">
            <v>12</v>
          </cell>
          <cell r="L152">
            <v>2019</v>
          </cell>
          <cell r="M152" t="str">
            <v>Đáp ứng</v>
          </cell>
          <cell r="N152" t="str">
            <v>Intel i3 4150T 3.40 GHz</v>
          </cell>
          <cell r="O152" t="str">
            <v>4GB</v>
          </cell>
          <cell r="P152" t="str">
            <v>SSD 120GB</v>
          </cell>
          <cell r="Q152" t="str">
            <v>Microsoft Windows 10</v>
          </cell>
        </row>
        <row r="153">
          <cell r="A153">
            <v>536100</v>
          </cell>
          <cell r="B153">
            <v>5314</v>
          </cell>
          <cell r="C153" t="str">
            <v>Bưu điện phường Phú Bài</v>
          </cell>
          <cell r="D153" t="str">
            <v>Bưu điện KV Hương Thủy</v>
          </cell>
          <cell r="E153" t="str">
            <v>Bưu cục Hương Thủy</v>
          </cell>
          <cell r="F153" t="str">
            <v>Bưu cục giao dịch cấp 2</v>
          </cell>
          <cell r="H153" t="str">
            <v>Desktop</v>
          </cell>
          <cell r="I153" t="str">
            <v>HUE-HTY-GDTT01</v>
          </cell>
          <cell r="J153" t="str">
            <v>POSBANK APEXA II</v>
          </cell>
          <cell r="K153">
            <v>14</v>
          </cell>
          <cell r="L153">
            <v>2021</v>
          </cell>
          <cell r="M153" t="str">
            <v>Đáp ứng</v>
          </cell>
          <cell r="N153" t="str">
            <v>Intel J1900 2.42GHz</v>
          </cell>
          <cell r="O153" t="str">
            <v>4GB</v>
          </cell>
          <cell r="P153" t="str">
            <v>SSD 120GB</v>
          </cell>
          <cell r="Q153" t="str">
            <v>Microsoft Windows 10</v>
          </cell>
        </row>
        <row r="154">
          <cell r="A154">
            <v>536100</v>
          </cell>
          <cell r="B154">
            <v>5314</v>
          </cell>
          <cell r="C154" t="str">
            <v>Bưu điện phường Phú Bài</v>
          </cell>
          <cell r="D154" t="str">
            <v>Bưu điện KV Hương Thủy</v>
          </cell>
          <cell r="E154" t="str">
            <v>Bưu cục Hương Thủy</v>
          </cell>
          <cell r="F154" t="str">
            <v>Bưu cục giao dịch cấp 2</v>
          </cell>
          <cell r="H154" t="str">
            <v>Desktop</v>
          </cell>
          <cell r="I154" t="str">
            <v>HUE-HTY-GDTT02</v>
          </cell>
          <cell r="J154" t="str">
            <v>Lắp ráp Lắp ráp ĐNA</v>
          </cell>
          <cell r="K154">
            <v>14</v>
          </cell>
          <cell r="L154">
            <v>2020</v>
          </cell>
          <cell r="M154" t="str">
            <v>Đáp ứng</v>
          </cell>
          <cell r="N154" t="str">
            <v>Intel G3250 3.2GHz</v>
          </cell>
          <cell r="O154" t="str">
            <v>4GB</v>
          </cell>
          <cell r="P154" t="str">
            <v>SSD 120GB</v>
          </cell>
          <cell r="Q154" t="str">
            <v>Microsoft Windows 10</v>
          </cell>
        </row>
        <row r="155">
          <cell r="A155">
            <v>536260</v>
          </cell>
          <cell r="B155">
            <v>5314</v>
          </cell>
          <cell r="C155" t="str">
            <v>Bưu điện phường Phú Bài</v>
          </cell>
          <cell r="D155" t="str">
            <v>Bưu điện KV Hương Thủy</v>
          </cell>
          <cell r="E155" t="str">
            <v>VHX Dương Hòa</v>
          </cell>
          <cell r="F155" t="str">
            <v>Bưu điện VHX</v>
          </cell>
          <cell r="H155" t="str">
            <v>Desktop</v>
          </cell>
          <cell r="I155" t="str">
            <v>HUE-HTY-DHA</v>
          </cell>
          <cell r="J155" t="str">
            <v>Dell Optiplex 3040</v>
          </cell>
          <cell r="K155">
            <v>11</v>
          </cell>
          <cell r="L155">
            <v>2020</v>
          </cell>
          <cell r="M155" t="str">
            <v>Đáp ứng</v>
          </cell>
          <cell r="N155" t="str">
            <v>Intel i3 6300 3.80 GHz</v>
          </cell>
          <cell r="O155" t="str">
            <v>4GB</v>
          </cell>
          <cell r="P155" t="str">
            <v>HDD 500GB</v>
          </cell>
          <cell r="Q155" t="str">
            <v>Microsoft Windows 10</v>
          </cell>
        </row>
        <row r="156">
          <cell r="A156">
            <v>536270</v>
          </cell>
          <cell r="B156">
            <v>5314</v>
          </cell>
          <cell r="C156" t="str">
            <v>Bưu điện phường Phú Bài</v>
          </cell>
          <cell r="D156" t="str">
            <v>Bưu điện KV Hương Thủy</v>
          </cell>
          <cell r="E156" t="str">
            <v>VHX Phú Sơn</v>
          </cell>
          <cell r="F156" t="str">
            <v>Bưu điện VHX</v>
          </cell>
          <cell r="H156" t="str">
            <v>Desktop</v>
          </cell>
          <cell r="I156" t="str">
            <v>HUE-HTY-PSN</v>
          </cell>
          <cell r="J156" t="str">
            <v>Lắp ráp Lắp ráp ĐNA</v>
          </cell>
          <cell r="K156">
            <v>11</v>
          </cell>
          <cell r="L156">
            <v>2020</v>
          </cell>
          <cell r="M156" t="str">
            <v>Chậm</v>
          </cell>
          <cell r="N156" t="str">
            <v>Intel i3-7100 3.9 GHz</v>
          </cell>
          <cell r="O156" t="str">
            <v>4GB</v>
          </cell>
          <cell r="P156" t="str">
            <v>HDD 500GB</v>
          </cell>
          <cell r="Q156" t="str">
            <v>Microsoft Windows 10</v>
          </cell>
        </row>
        <row r="157">
          <cell r="A157">
            <v>536280</v>
          </cell>
          <cell r="B157">
            <v>5314</v>
          </cell>
          <cell r="C157" t="str">
            <v>Bưu điện phường Phú Bài</v>
          </cell>
          <cell r="D157" t="str">
            <v>Bưu điện KV Hương Thủy</v>
          </cell>
          <cell r="E157" t="str">
            <v>VHX Thủy Phù</v>
          </cell>
          <cell r="F157" t="str">
            <v>Bưu điện VHX</v>
          </cell>
          <cell r="H157" t="str">
            <v>Desktop</v>
          </cell>
          <cell r="I157" t="str">
            <v>HUE-HTY-TPU</v>
          </cell>
          <cell r="J157" t="str">
            <v>Dell Optiplex 3020</v>
          </cell>
          <cell r="K157">
            <v>11</v>
          </cell>
          <cell r="L157">
            <v>2017</v>
          </cell>
          <cell r="M157" t="str">
            <v>Chậm</v>
          </cell>
          <cell r="N157" t="str">
            <v>Intel i3 4150T 3.40 GHz</v>
          </cell>
          <cell r="O157" t="str">
            <v>4GB</v>
          </cell>
          <cell r="P157" t="str">
            <v>HDD 500GB</v>
          </cell>
          <cell r="Q157" t="str">
            <v>Microsoft Windows 10</v>
          </cell>
        </row>
        <row r="158">
          <cell r="A158">
            <v>534900</v>
          </cell>
          <cell r="B158">
            <v>5315</v>
          </cell>
          <cell r="C158" t="str">
            <v>Bưu điện phường Phong Điền</v>
          </cell>
          <cell r="D158" t="str">
            <v>Bưu điện KV Phong Điền</v>
          </cell>
          <cell r="E158" t="str">
            <v>Bưu cục Phong Điền</v>
          </cell>
          <cell r="F158" t="str">
            <v>Bưu cục giao dịch cấp 2</v>
          </cell>
          <cell r="H158" t="str">
            <v>Desktop</v>
          </cell>
          <cell r="I158" t="str">
            <v>HUE-PDN-GDTT04</v>
          </cell>
          <cell r="J158" t="str">
            <v>Dell Optiplex 3040</v>
          </cell>
          <cell r="K158">
            <v>14</v>
          </cell>
          <cell r="L158">
            <v>2018</v>
          </cell>
          <cell r="M158" t="str">
            <v>Không đáp ứng cần nâng cấp</v>
          </cell>
          <cell r="N158" t="str">
            <v>Intel i3-6100 3.20GHz</v>
          </cell>
          <cell r="O158" t="str">
            <v>4GB</v>
          </cell>
          <cell r="P158" t="str">
            <v>SSD 120GB</v>
          </cell>
          <cell r="Q158" t="str">
            <v>Microsoft Windows 10</v>
          </cell>
        </row>
        <row r="159">
          <cell r="A159">
            <v>534900</v>
          </cell>
          <cell r="B159">
            <v>5315</v>
          </cell>
          <cell r="C159" t="str">
            <v>Bưu điện phường Phong Điền</v>
          </cell>
          <cell r="D159" t="str">
            <v>Bưu điện KV Phong Điền</v>
          </cell>
          <cell r="E159" t="str">
            <v>Bưu cục Phong Điền</v>
          </cell>
          <cell r="F159" t="str">
            <v>Bưu cục giao dịch cấp 2</v>
          </cell>
          <cell r="G159" t="str">
            <v>Chi trả CAS</v>
          </cell>
          <cell r="H159" t="str">
            <v>Laptop</v>
          </cell>
          <cell r="I159" t="str">
            <v>PDN-CHITRA1</v>
          </cell>
          <cell r="J159" t="str">
            <v>Dell Optiplex 3040</v>
          </cell>
          <cell r="K159">
            <v>11</v>
          </cell>
          <cell r="L159">
            <v>2018</v>
          </cell>
          <cell r="M159" t="str">
            <v>Không đáp ứng cần nâng cấp</v>
          </cell>
          <cell r="N159" t="str">
            <v>Intel i3-6100 3.20GHz</v>
          </cell>
          <cell r="O159" t="str">
            <v>4GB</v>
          </cell>
          <cell r="P159" t="str">
            <v>HDD 500GB</v>
          </cell>
          <cell r="Q159" t="str">
            <v>Microsoft Windows 7</v>
          </cell>
        </row>
        <row r="160">
          <cell r="A160">
            <v>534900</v>
          </cell>
          <cell r="B160">
            <v>5315</v>
          </cell>
          <cell r="C160" t="str">
            <v>Bưu điện phường Phong Điền</v>
          </cell>
          <cell r="D160" t="str">
            <v>Bưu điện KV Phong Điền</v>
          </cell>
          <cell r="E160" t="str">
            <v>Bưu cục Phong Điền</v>
          </cell>
          <cell r="F160" t="str">
            <v>Bưu cục giao dịch cấp 2</v>
          </cell>
          <cell r="G160" t="str">
            <v>Chi trả CAS</v>
          </cell>
          <cell r="H160" t="str">
            <v>Laptop</v>
          </cell>
          <cell r="I160" t="str">
            <v>PDN-CHITRA2</v>
          </cell>
          <cell r="J160" t="str">
            <v>Dell Optiplex 3040</v>
          </cell>
          <cell r="K160">
            <v>11</v>
          </cell>
          <cell r="L160">
            <v>2018</v>
          </cell>
          <cell r="M160" t="str">
            <v>Không đáp ứng cần nâng cấp</v>
          </cell>
          <cell r="N160" t="str">
            <v>Intel i3-6100 3.20GHz</v>
          </cell>
          <cell r="O160" t="str">
            <v>4GB</v>
          </cell>
          <cell r="P160" t="str">
            <v>HDD 500GB</v>
          </cell>
          <cell r="Q160" t="str">
            <v>Microsoft Windows 7</v>
          </cell>
        </row>
        <row r="161">
          <cell r="A161">
            <v>534900</v>
          </cell>
          <cell r="B161">
            <v>5315</v>
          </cell>
          <cell r="C161" t="str">
            <v>Bưu điện phường Phong Điền</v>
          </cell>
          <cell r="D161" t="str">
            <v>Bưu điện KV Phong Điền</v>
          </cell>
          <cell r="E161" t="str">
            <v>Bưu cục Phong Điền</v>
          </cell>
          <cell r="F161" t="str">
            <v>Bưu cục giao dịch cấp 2</v>
          </cell>
          <cell r="G161" t="str">
            <v>Chi trả CAS</v>
          </cell>
          <cell r="H161" t="str">
            <v>Laptop</v>
          </cell>
          <cell r="J161" t="str">
            <v>Dell Optiplex 3040</v>
          </cell>
          <cell r="K161">
            <v>0</v>
          </cell>
          <cell r="L161">
            <v>2018</v>
          </cell>
          <cell r="M161" t="str">
            <v>Không đáp ứng cần nâng cấp</v>
          </cell>
          <cell r="N161" t="str">
            <v>Intel i3-6100 3.20GHz</v>
          </cell>
          <cell r="O161" t="str">
            <v>4GB</v>
          </cell>
          <cell r="P161" t="str">
            <v>HDD 500GB</v>
          </cell>
          <cell r="Q161" t="str">
            <v>Microsoft Windows 7</v>
          </cell>
        </row>
        <row r="162">
          <cell r="A162">
            <v>534907</v>
          </cell>
          <cell r="B162">
            <v>5315</v>
          </cell>
          <cell r="C162" t="str">
            <v>Bưu điện phường Phong Điền</v>
          </cell>
          <cell r="D162" t="str">
            <v>Bưu điện KV Phong Điền</v>
          </cell>
          <cell r="E162" t="str">
            <v>Bưu cục VP BĐ huyện Phong Điền</v>
          </cell>
          <cell r="F162" t="str">
            <v>Văn phòng</v>
          </cell>
          <cell r="G162" t="str">
            <v>GĐ</v>
          </cell>
          <cell r="H162" t="str">
            <v>Desktop</v>
          </cell>
          <cell r="I162" t="str">
            <v>HUE-PDN-TANTV</v>
          </cell>
          <cell r="J162" t="str">
            <v xml:space="preserve">Lắp ráp ĐNA </v>
          </cell>
          <cell r="K162">
            <v>13</v>
          </cell>
          <cell r="L162">
            <v>2021</v>
          </cell>
          <cell r="M162" t="str">
            <v>Đáp ứng</v>
          </cell>
          <cell r="N162" t="str">
            <v>Intel G4400 3.30GHz</v>
          </cell>
          <cell r="O162" t="str">
            <v>8GB</v>
          </cell>
          <cell r="P162" t="str">
            <v>SSD 250GB</v>
          </cell>
          <cell r="Q162" t="str">
            <v>Microsoft Windows 10</v>
          </cell>
        </row>
        <row r="163">
          <cell r="A163">
            <v>534907</v>
          </cell>
          <cell r="B163">
            <v>5315</v>
          </cell>
          <cell r="C163" t="str">
            <v>Bưu điện phường Phong Điền</v>
          </cell>
          <cell r="D163" t="str">
            <v>Bưu điện KV Phong Điền</v>
          </cell>
          <cell r="E163" t="str">
            <v>Bưu cục VP BĐ huyện Phong Điền</v>
          </cell>
          <cell r="F163" t="str">
            <v>Văn phòng</v>
          </cell>
          <cell r="G163" t="str">
            <v>Kế toán</v>
          </cell>
          <cell r="H163" t="str">
            <v>Desktop</v>
          </cell>
          <cell r="I163" t="str">
            <v>HUE-PDN-UYENNNM</v>
          </cell>
          <cell r="J163" t="str">
            <v xml:space="preserve">Lắp ráp ĐNA </v>
          </cell>
          <cell r="K163">
            <v>15</v>
          </cell>
          <cell r="L163">
            <v>2021</v>
          </cell>
          <cell r="M163" t="str">
            <v>Đáp ứng</v>
          </cell>
          <cell r="N163" t="str">
            <v>Intel i5-10400 2.9GHz</v>
          </cell>
          <cell r="O163" t="str">
            <v>8GB</v>
          </cell>
          <cell r="P163" t="str">
            <v>SSD 120GB</v>
          </cell>
          <cell r="Q163" t="str">
            <v>Microsoft Windows 10</v>
          </cell>
        </row>
        <row r="164">
          <cell r="A164">
            <v>534907</v>
          </cell>
          <cell r="B164">
            <v>5315</v>
          </cell>
          <cell r="C164" t="str">
            <v>Bưu điện phường Phong Điền</v>
          </cell>
          <cell r="D164" t="str">
            <v>Bưu điện KV Phong Điền</v>
          </cell>
          <cell r="E164" t="str">
            <v>Bưu cục VP BĐ huyện Phong Điền</v>
          </cell>
          <cell r="F164" t="str">
            <v>Văn phòng</v>
          </cell>
          <cell r="G164" t="str">
            <v>Kế toán</v>
          </cell>
          <cell r="H164" t="str">
            <v>Desktop</v>
          </cell>
          <cell r="I164" t="str">
            <v>HUE-PDN-THUHT</v>
          </cell>
          <cell r="J164" t="str">
            <v xml:space="preserve">Lắp ráp ĐNA </v>
          </cell>
          <cell r="K164">
            <v>13</v>
          </cell>
          <cell r="L164">
            <v>2021</v>
          </cell>
          <cell r="M164" t="str">
            <v>Đáp ứng</v>
          </cell>
          <cell r="N164" t="str">
            <v>Intel i5-7400 3.0GHz</v>
          </cell>
          <cell r="O164" t="str">
            <v>8GB</v>
          </cell>
          <cell r="P164" t="str">
            <v>SSD 120GB</v>
          </cell>
          <cell r="Q164" t="str">
            <v>Microsoft Windows 7</v>
          </cell>
        </row>
        <row r="165">
          <cell r="A165">
            <v>534900</v>
          </cell>
          <cell r="B165">
            <v>5315</v>
          </cell>
          <cell r="C165" t="str">
            <v>Bưu điện phường Phong Điền</v>
          </cell>
          <cell r="D165" t="str">
            <v>Bưu điện KV Phong Điền</v>
          </cell>
          <cell r="E165" t="str">
            <v>Bưu cục Phong Điền</v>
          </cell>
          <cell r="F165" t="str">
            <v>Bưu cục giao dịch cấp 2</v>
          </cell>
          <cell r="G165" t="str">
            <v>LPBANK</v>
          </cell>
          <cell r="H165" t="str">
            <v>Desktop</v>
          </cell>
          <cell r="I165" t="str">
            <v>HUE-PDN-GDTT03</v>
          </cell>
          <cell r="J165" t="str">
            <v>Dell Optiplex 3020</v>
          </cell>
          <cell r="K165">
            <v>14</v>
          </cell>
          <cell r="L165">
            <v>2018</v>
          </cell>
          <cell r="M165" t="str">
            <v>Không đáp ứng cần nâng cấp</v>
          </cell>
          <cell r="N165" t="str">
            <v>Intel i3-4150T 3.0GHz</v>
          </cell>
          <cell r="O165" t="str">
            <v>4GB</v>
          </cell>
          <cell r="P165" t="str">
            <v>SSD 120GB</v>
          </cell>
          <cell r="Q165" t="str">
            <v>Microsoft Windows 10</v>
          </cell>
        </row>
        <row r="166">
          <cell r="A166">
            <v>534907</v>
          </cell>
          <cell r="B166">
            <v>5315</v>
          </cell>
          <cell r="C166" t="str">
            <v>Bưu điện phường Phong Điền</v>
          </cell>
          <cell r="D166" t="str">
            <v>Bưu điện KV Phong Điền</v>
          </cell>
          <cell r="E166" t="str">
            <v>Bưu cục VP BĐ huyện Phong Điền</v>
          </cell>
          <cell r="F166" t="str">
            <v>Văn phòng</v>
          </cell>
          <cell r="G166" t="str">
            <v>Thủ quỹ</v>
          </cell>
          <cell r="H166" t="str">
            <v>Desktop</v>
          </cell>
          <cell r="I166" t="str">
            <v>HUE-PDN-NHANNTH</v>
          </cell>
          <cell r="J166" t="str">
            <v xml:space="preserve">Lắp ráp ĐNA </v>
          </cell>
          <cell r="K166">
            <v>15</v>
          </cell>
          <cell r="L166">
            <v>2021</v>
          </cell>
          <cell r="M166" t="str">
            <v>Đáp ứng</v>
          </cell>
          <cell r="N166" t="str">
            <v>Intel i3-4150 3.5GHz</v>
          </cell>
          <cell r="O166" t="str">
            <v>4GB</v>
          </cell>
          <cell r="P166" t="str">
            <v>HDD 500GB</v>
          </cell>
          <cell r="Q166" t="str">
            <v>Microsoft Windows 7</v>
          </cell>
        </row>
        <row r="167">
          <cell r="A167">
            <v>534900</v>
          </cell>
          <cell r="B167">
            <v>5315</v>
          </cell>
          <cell r="C167" t="str">
            <v>Bưu điện phường Phong Điền</v>
          </cell>
          <cell r="D167" t="str">
            <v>Bưu điện KV Phong Điền</v>
          </cell>
          <cell r="E167" t="str">
            <v>Bưu cục Phong Điền</v>
          </cell>
          <cell r="F167" t="str">
            <v>Bưu cục giao dịch cấp 2</v>
          </cell>
          <cell r="H167" t="str">
            <v>Desktop</v>
          </cell>
          <cell r="I167" t="str">
            <v>HUE-PDN-BHYT</v>
          </cell>
          <cell r="J167" t="str">
            <v>Dell Optiplex 3040</v>
          </cell>
          <cell r="K167">
            <v>12</v>
          </cell>
          <cell r="L167">
            <v>2018</v>
          </cell>
          <cell r="M167" t="str">
            <v>Đáp ứng</v>
          </cell>
          <cell r="N167" t="str">
            <v>Intel i3-6100 3.20GHz</v>
          </cell>
          <cell r="O167" t="str">
            <v>8GB</v>
          </cell>
          <cell r="P167" t="str">
            <v>HDD 500GB</v>
          </cell>
          <cell r="Q167" t="str">
            <v>Microsoft Windows 7</v>
          </cell>
        </row>
        <row r="168">
          <cell r="A168">
            <v>534900</v>
          </cell>
          <cell r="B168">
            <v>5315</v>
          </cell>
          <cell r="C168" t="str">
            <v>Bưu điện phường Phong Điền</v>
          </cell>
          <cell r="D168" t="str">
            <v>Bưu điện KV Phong Điền</v>
          </cell>
          <cell r="E168" t="str">
            <v>Bưu cục Phong Điền</v>
          </cell>
          <cell r="F168" t="str">
            <v>Bưu cục giao dịch cấp 2</v>
          </cell>
          <cell r="H168" t="str">
            <v>Desktop</v>
          </cell>
          <cell r="I168" t="str">
            <v>HUE-PDN-GDTT01</v>
          </cell>
          <cell r="J168" t="str">
            <v>POSBANK APEXA II</v>
          </cell>
          <cell r="K168">
            <v>14</v>
          </cell>
          <cell r="L168">
            <v>2021</v>
          </cell>
          <cell r="M168" t="str">
            <v>Đáp ứng</v>
          </cell>
          <cell r="N168" t="str">
            <v>Intel J1900 2.42GHz</v>
          </cell>
          <cell r="O168" t="str">
            <v>4GB</v>
          </cell>
          <cell r="P168" t="str">
            <v>SSD 120GB</v>
          </cell>
          <cell r="Q168" t="str">
            <v>Microsoft Windows 10</v>
          </cell>
        </row>
        <row r="169">
          <cell r="A169">
            <v>534900</v>
          </cell>
          <cell r="B169">
            <v>5315</v>
          </cell>
          <cell r="C169" t="str">
            <v>Bưu điện phường Phong Điền</v>
          </cell>
          <cell r="D169" t="str">
            <v>Bưu điện KV Phong Điền</v>
          </cell>
          <cell r="E169" t="str">
            <v>Bưu cục Phong Điền</v>
          </cell>
          <cell r="F169" t="str">
            <v>Bưu cục giao dịch cấp 2</v>
          </cell>
          <cell r="H169" t="str">
            <v>Desktop</v>
          </cell>
          <cell r="I169" t="str">
            <v>HUE-PDN-GDTT02</v>
          </cell>
          <cell r="J169" t="str">
            <v>Dell Optiplex 3040</v>
          </cell>
          <cell r="K169">
            <v>14</v>
          </cell>
          <cell r="L169">
            <v>2018</v>
          </cell>
          <cell r="M169" t="str">
            <v>Không đáp ứng cần nâng cấp</v>
          </cell>
          <cell r="N169" t="str">
            <v>Intel i3-6100 3.20GHz</v>
          </cell>
          <cell r="O169" t="str">
            <v>4GB</v>
          </cell>
          <cell r="P169" t="str">
            <v>HDD 500GB</v>
          </cell>
          <cell r="Q169" t="str">
            <v>Microsoft Windows 7</v>
          </cell>
        </row>
        <row r="170">
          <cell r="A170">
            <v>534900</v>
          </cell>
          <cell r="B170">
            <v>5315</v>
          </cell>
          <cell r="C170" t="str">
            <v>Bưu điện phường Phong Điền</v>
          </cell>
          <cell r="D170" t="str">
            <v>Bưu điện KV Phong Điền</v>
          </cell>
          <cell r="E170" t="str">
            <v>Bưu cục Phong Điền</v>
          </cell>
          <cell r="F170" t="str">
            <v>Bưu cục giao dịch cấp 2</v>
          </cell>
          <cell r="H170" t="str">
            <v>Desktop</v>
          </cell>
          <cell r="I170" t="str">
            <v>HUE-PDN-BHXH</v>
          </cell>
          <cell r="J170" t="str">
            <v>Lắp ráp ĐNA</v>
          </cell>
          <cell r="K170">
            <v>12</v>
          </cell>
          <cell r="L170">
            <v>2018</v>
          </cell>
          <cell r="M170" t="str">
            <v>Không đáp ứng cần nâng cấp</v>
          </cell>
          <cell r="N170" t="str">
            <v>Intel i3-6100 3.20GHz</v>
          </cell>
          <cell r="O170" t="str">
            <v>4GB</v>
          </cell>
          <cell r="P170" t="str">
            <v>SSD 120GB</v>
          </cell>
          <cell r="Q170" t="str">
            <v>Microsoft Windows 10</v>
          </cell>
        </row>
        <row r="171">
          <cell r="A171">
            <v>535120</v>
          </cell>
          <cell r="B171">
            <v>5315</v>
          </cell>
          <cell r="C171" t="str">
            <v>Bưu điện phường Phong Điền</v>
          </cell>
          <cell r="D171" t="str">
            <v>Bưu điện KV Phong Điền</v>
          </cell>
          <cell r="E171" t="str">
            <v>Bưu cục Phong Xuân</v>
          </cell>
          <cell r="F171" t="str">
            <v>Bưu cục giao dịch cấp 3</v>
          </cell>
          <cell r="H171" t="str">
            <v>Desktop</v>
          </cell>
          <cell r="I171" t="str">
            <v>HUE-PDN-PXN</v>
          </cell>
          <cell r="J171" t="str">
            <v>Lắp ráp ĐNA</v>
          </cell>
          <cell r="K171">
            <v>11</v>
          </cell>
          <cell r="L171">
            <v>2018</v>
          </cell>
          <cell r="M171" t="str">
            <v>Không đáp ứng cần nâng cấp</v>
          </cell>
          <cell r="N171" t="str">
            <v>Intel i3-4160 3.0GHz</v>
          </cell>
          <cell r="O171" t="str">
            <v>2GB</v>
          </cell>
          <cell r="P171" t="str">
            <v>HDD 500GB</v>
          </cell>
          <cell r="Q171" t="str">
            <v>Microsoft Windows 7</v>
          </cell>
        </row>
        <row r="172">
          <cell r="A172">
            <v>535100</v>
          </cell>
          <cell r="B172">
            <v>5315</v>
          </cell>
          <cell r="C172" t="str">
            <v>Bưu điện phường Phong Điền</v>
          </cell>
          <cell r="D172" t="str">
            <v>Bưu điện KV Phong Điền</v>
          </cell>
          <cell r="E172" t="str">
            <v>VHX Phong Mỹ</v>
          </cell>
          <cell r="F172" t="str">
            <v>Bưu điện VHX</v>
          </cell>
          <cell r="H172" t="str">
            <v>Desktop</v>
          </cell>
          <cell r="I172" t="str">
            <v>HUE-PDN-PMY</v>
          </cell>
          <cell r="J172" t="str">
            <v>HP Prodesk 600 G5</v>
          </cell>
          <cell r="K172">
            <v>11</v>
          </cell>
          <cell r="L172">
            <v>2020</v>
          </cell>
          <cell r="M172" t="str">
            <v>Nhanh</v>
          </cell>
          <cell r="N172" t="str">
            <v>Intel i3 9100T 3.1GHz</v>
          </cell>
          <cell r="O172" t="str">
            <v>4GB</v>
          </cell>
          <cell r="P172" t="str">
            <v>HDD 500GB</v>
          </cell>
          <cell r="Q172" t="str">
            <v>Microsoft Windows 10</v>
          </cell>
        </row>
        <row r="173">
          <cell r="A173">
            <v>535020</v>
          </cell>
          <cell r="B173">
            <v>5315</v>
          </cell>
          <cell r="C173" t="str">
            <v>Bưu điện phường Phong Điền</v>
          </cell>
          <cell r="D173" t="str">
            <v>Bưu điện KV Phong Điền</v>
          </cell>
          <cell r="E173" t="str">
            <v>VHX Phong Thu</v>
          </cell>
          <cell r="F173" t="str">
            <v>Bưu điện VHX</v>
          </cell>
          <cell r="H173" t="str">
            <v>Desktop</v>
          </cell>
          <cell r="I173" t="str">
            <v>HUE-PDN-PTU</v>
          </cell>
          <cell r="J173" t="str">
            <v>Lắp ráp ĐNA dự án</v>
          </cell>
          <cell r="K173">
            <v>11</v>
          </cell>
          <cell r="L173">
            <v>2018</v>
          </cell>
          <cell r="M173" t="str">
            <v>Chậm</v>
          </cell>
          <cell r="N173" t="str">
            <v>i3-4160 3.60GHz</v>
          </cell>
          <cell r="O173" t="str">
            <v>4GB</v>
          </cell>
          <cell r="P173" t="str">
            <v>HDD 500GB</v>
          </cell>
          <cell r="Q173" t="str">
            <v>Microsoft Windows 7</v>
          </cell>
        </row>
        <row r="174">
          <cell r="A174">
            <v>535140</v>
          </cell>
          <cell r="B174">
            <v>5316</v>
          </cell>
          <cell r="C174" t="str">
            <v>Bưu điện phường Phong Thái</v>
          </cell>
          <cell r="D174" t="str">
            <v>Bưu điện KV Phong Điền</v>
          </cell>
          <cell r="E174" t="str">
            <v>Bưu cục An Lỗ</v>
          </cell>
          <cell r="F174" t="str">
            <v>Bưu cục giao dịch cấp 3</v>
          </cell>
          <cell r="H174" t="str">
            <v>Desktop</v>
          </cell>
          <cell r="I174" t="str">
            <v>HUE-PDN-ALO</v>
          </cell>
          <cell r="J174" t="str">
            <v>Lắp ráp ĐNA</v>
          </cell>
          <cell r="K174">
            <v>11</v>
          </cell>
          <cell r="L174">
            <v>2018</v>
          </cell>
          <cell r="M174" t="str">
            <v>Chậm</v>
          </cell>
          <cell r="N174" t="str">
            <v>Intel i3 7100 3.9GHz</v>
          </cell>
          <cell r="O174" t="str">
            <v>4GB</v>
          </cell>
          <cell r="P174" t="str">
            <v>SSD 120GB</v>
          </cell>
          <cell r="Q174" t="str">
            <v>Microsoft Windows 10</v>
          </cell>
        </row>
        <row r="175">
          <cell r="A175">
            <v>535141</v>
          </cell>
          <cell r="B175">
            <v>5316</v>
          </cell>
          <cell r="C175" t="str">
            <v>Bưu điện phường Phong Thái</v>
          </cell>
          <cell r="D175" t="str">
            <v>Bưu điện KV Phong Điền</v>
          </cell>
          <cell r="E175" t="str">
            <v>VHX Phong An</v>
          </cell>
          <cell r="F175" t="str">
            <v>Bưu điện VHX</v>
          </cell>
          <cell r="H175" t="str">
            <v>Desktop</v>
          </cell>
          <cell r="I175" t="str">
            <v>HUE-VHX-PAN</v>
          </cell>
          <cell r="J175" t="str">
            <v>Dell Optiplex 5060</v>
          </cell>
          <cell r="K175">
            <v>11</v>
          </cell>
          <cell r="L175">
            <v>2019</v>
          </cell>
          <cell r="M175" t="str">
            <v>Không đáp ứng cần nâng cấp</v>
          </cell>
          <cell r="N175" t="str">
            <v>Intel i3-8100 3.20GHz</v>
          </cell>
          <cell r="O175" t="str">
            <v>4GB</v>
          </cell>
          <cell r="P175" t="str">
            <v>SSD 120GB</v>
          </cell>
          <cell r="Q175" t="str">
            <v>Microsoft Windows 10</v>
          </cell>
        </row>
        <row r="176">
          <cell r="A176">
            <v>534910</v>
          </cell>
          <cell r="B176">
            <v>5316</v>
          </cell>
          <cell r="C176" t="str">
            <v>Bưu điện phường Phong Thái</v>
          </cell>
          <cell r="D176" t="str">
            <v>Bưu điện KV Phong Điền</v>
          </cell>
          <cell r="E176" t="str">
            <v>VHX Phong Hiền</v>
          </cell>
          <cell r="F176" t="str">
            <v>Bưu điện VHX</v>
          </cell>
          <cell r="H176" t="str">
            <v>Desktop</v>
          </cell>
          <cell r="I176" t="str">
            <v>HUE-PDN-PHN</v>
          </cell>
          <cell r="J176" t="str">
            <v>Dell Optiplex 5060</v>
          </cell>
          <cell r="K176">
            <v>11</v>
          </cell>
          <cell r="L176">
            <v>2019</v>
          </cell>
          <cell r="M176" t="str">
            <v>Không đáp ứng cần nâng cấp</v>
          </cell>
          <cell r="N176" t="str">
            <v>Intel i3-8100 3.20GHz</v>
          </cell>
          <cell r="O176" t="str">
            <v>4GB</v>
          </cell>
          <cell r="P176" t="str">
            <v>HDD 500GB</v>
          </cell>
          <cell r="Q176" t="str">
            <v>Microsoft Windows 10</v>
          </cell>
        </row>
        <row r="177">
          <cell r="A177">
            <v>535160</v>
          </cell>
          <cell r="B177">
            <v>5316</v>
          </cell>
          <cell r="C177" t="str">
            <v>Bưu điện phường Phong Thái</v>
          </cell>
          <cell r="D177" t="str">
            <v>Bưu điện KV Phong Điền</v>
          </cell>
          <cell r="E177" t="str">
            <v>VHX Phong Sơn</v>
          </cell>
          <cell r="F177" t="str">
            <v>Bưu điện VHX</v>
          </cell>
          <cell r="H177" t="str">
            <v>Desktop</v>
          </cell>
          <cell r="I177" t="str">
            <v>HUE-PDN-PSN</v>
          </cell>
          <cell r="J177" t="str">
            <v>HP Prodesk 600 G5</v>
          </cell>
          <cell r="K177">
            <v>1</v>
          </cell>
          <cell r="L177">
            <v>2020</v>
          </cell>
          <cell r="M177" t="str">
            <v>Nhanh</v>
          </cell>
          <cell r="N177" t="str">
            <v>Intel i3 9100T 3.1GHz</v>
          </cell>
          <cell r="O177" t="str">
            <v>4GB</v>
          </cell>
          <cell r="P177" t="str">
            <v>SSD 120GB</v>
          </cell>
          <cell r="Q177" t="str">
            <v>Microsoft Windows 10</v>
          </cell>
        </row>
        <row r="178">
          <cell r="A178">
            <v>535141</v>
          </cell>
          <cell r="B178">
            <v>5316</v>
          </cell>
          <cell r="C178" t="str">
            <v>Bưu điện phường Phong Thái</v>
          </cell>
          <cell r="D178" t="str">
            <v>Bưu điện Phong Điền</v>
          </cell>
          <cell r="E178" t="str">
            <v>Bưu điện phường Phong Thái</v>
          </cell>
          <cell r="F178" t="str">
            <v>BĐ xã/phường</v>
          </cell>
          <cell r="H178" t="str">
            <v>Desktop</v>
          </cell>
          <cell r="I178" t="str">
            <v>HUE-PTI-GD</v>
          </cell>
          <cell r="M178" t="str">
            <v>Đáp ứng</v>
          </cell>
          <cell r="N178" t="str">
            <v>AMD Ryzen 5 5500GT</v>
          </cell>
          <cell r="O178" t="str">
            <v>8GB</v>
          </cell>
          <cell r="P178" t="str">
            <v>SSD 500GB</v>
          </cell>
          <cell r="Q178" t="str">
            <v>Microsoft Windows 10</v>
          </cell>
        </row>
        <row r="179">
          <cell r="A179">
            <v>535070</v>
          </cell>
          <cell r="B179">
            <v>5317</v>
          </cell>
          <cell r="C179" t="str">
            <v>Bưu điện phường Phong Dinh</v>
          </cell>
          <cell r="D179" t="str">
            <v>Bưu điện KV Phong Điền</v>
          </cell>
          <cell r="E179" t="str">
            <v>VHX Phong Bình</v>
          </cell>
          <cell r="F179" t="str">
            <v>Bưu điện VHX</v>
          </cell>
          <cell r="H179" t="str">
            <v>Desktop</v>
          </cell>
          <cell r="I179" t="str">
            <v>HUE-PDN-PBH</v>
          </cell>
          <cell r="J179" t="str">
            <v>Dell Optiplex 5060</v>
          </cell>
          <cell r="K179">
            <v>11</v>
          </cell>
          <cell r="L179">
            <v>2018</v>
          </cell>
          <cell r="M179" t="str">
            <v>Không đáp ứng cần nâng cấp</v>
          </cell>
          <cell r="N179" t="str">
            <v>Intel i3-8100 3.20GHz</v>
          </cell>
          <cell r="O179" t="str">
            <v>4GB</v>
          </cell>
          <cell r="P179" t="str">
            <v>SSD 120GB</v>
          </cell>
          <cell r="Q179" t="str">
            <v>Microsoft Windows 10</v>
          </cell>
        </row>
        <row r="180">
          <cell r="A180">
            <v>534930</v>
          </cell>
          <cell r="B180">
            <v>5317</v>
          </cell>
          <cell r="C180" t="str">
            <v>Bưu điện phường Phong Dinh</v>
          </cell>
          <cell r="D180" t="str">
            <v>Bưu điện KV Phong Điền</v>
          </cell>
          <cell r="E180" t="str">
            <v>VHX Phong Chương</v>
          </cell>
          <cell r="F180" t="str">
            <v>Bưu điện VHX</v>
          </cell>
          <cell r="H180" t="str">
            <v>Desktop</v>
          </cell>
          <cell r="I180" t="str">
            <v>HUE-PDN-PCG</v>
          </cell>
          <cell r="J180" t="str">
            <v>Dell Optiplex 3040</v>
          </cell>
          <cell r="K180">
            <v>11</v>
          </cell>
          <cell r="L180">
            <v>2018</v>
          </cell>
          <cell r="M180" t="str">
            <v>Không đáp ứng cần nâng cấp</v>
          </cell>
          <cell r="N180" t="str">
            <v>Intel i3-6100 3.20GHz</v>
          </cell>
          <cell r="O180" t="str">
            <v>4GB</v>
          </cell>
          <cell r="P180" t="str">
            <v>HDD 500GB</v>
          </cell>
          <cell r="Q180" t="str">
            <v>Microsoft Windows 10</v>
          </cell>
        </row>
        <row r="181">
          <cell r="A181">
            <v>535041</v>
          </cell>
          <cell r="B181">
            <v>5317</v>
          </cell>
          <cell r="C181" t="str">
            <v>Bưu điện phường Phong Dinh</v>
          </cell>
          <cell r="D181" t="str">
            <v>Bưu điện KV Phong Điền</v>
          </cell>
          <cell r="E181" t="str">
            <v>VHX Phong Hòa</v>
          </cell>
          <cell r="F181" t="str">
            <v>Bưu điện VHX</v>
          </cell>
          <cell r="H181" t="str">
            <v>Desktop</v>
          </cell>
          <cell r="I181" t="str">
            <v>HUE-PDN-PHA</v>
          </cell>
          <cell r="J181" t="str">
            <v>HP Prodesk 600 G5</v>
          </cell>
          <cell r="K181">
            <v>11</v>
          </cell>
          <cell r="L181">
            <v>2020</v>
          </cell>
          <cell r="M181" t="str">
            <v>Nhanh</v>
          </cell>
          <cell r="N181" t="str">
            <v>Intel i3 9100T 3.1GHz</v>
          </cell>
          <cell r="O181" t="str">
            <v>4GB</v>
          </cell>
          <cell r="P181" t="str">
            <v>HDD 500GB</v>
          </cell>
          <cell r="Q181" t="str">
            <v>Microsoft Windows 10</v>
          </cell>
        </row>
        <row r="182">
          <cell r="A182">
            <v>534960</v>
          </cell>
          <cell r="B182">
            <v>5318</v>
          </cell>
          <cell r="C182" t="str">
            <v>Bưu điện phường Phong Phú</v>
          </cell>
          <cell r="D182" t="str">
            <v>Bưu điện KV Phong Điền</v>
          </cell>
          <cell r="E182" t="str">
            <v>Bưu cục Điền Hòa</v>
          </cell>
          <cell r="F182" t="str">
            <v>Bưu cục giao dịch cấp 3</v>
          </cell>
          <cell r="H182" t="str">
            <v>Desktop</v>
          </cell>
          <cell r="I182" t="str">
            <v>HUE-PDN-DHA</v>
          </cell>
          <cell r="J182" t="str">
            <v>Dell Optiplex 3040</v>
          </cell>
          <cell r="K182">
            <v>11</v>
          </cell>
          <cell r="L182">
            <v>2018</v>
          </cell>
          <cell r="M182" t="str">
            <v>Không đáp ứng cần nâng cấp</v>
          </cell>
          <cell r="N182" t="str">
            <v>Intel i3-6100 3.20GHz</v>
          </cell>
          <cell r="O182" t="str">
            <v>4GB</v>
          </cell>
          <cell r="P182" t="str">
            <v>HDD 500GB</v>
          </cell>
          <cell r="Q182" t="str">
            <v/>
          </cell>
        </row>
        <row r="183">
          <cell r="A183">
            <v>535090</v>
          </cell>
          <cell r="B183">
            <v>5318</v>
          </cell>
          <cell r="C183" t="str">
            <v>Bưu điện phường Phong Phú</v>
          </cell>
          <cell r="D183" t="str">
            <v>Bưu điện KV Phong Điền</v>
          </cell>
          <cell r="E183" t="str">
            <v>VHX Điền Hương</v>
          </cell>
          <cell r="F183" t="str">
            <v>Bưu điện VHX</v>
          </cell>
          <cell r="H183" t="str">
            <v>Desktop</v>
          </cell>
          <cell r="I183" t="str">
            <v>HUE-PDN-DHG</v>
          </cell>
          <cell r="J183" t="str">
            <v>Lắp ráp ĐNA</v>
          </cell>
          <cell r="K183">
            <v>11</v>
          </cell>
          <cell r="L183">
            <v>2018</v>
          </cell>
          <cell r="M183" t="str">
            <v>Không đáp ứng cần nâng cấp</v>
          </cell>
          <cell r="N183" t="str">
            <v>Intel G5905 3.50GHz</v>
          </cell>
          <cell r="O183" t="str">
            <v>2GB</v>
          </cell>
          <cell r="P183" t="str">
            <v>HDD 500GB</v>
          </cell>
          <cell r="Q183" t="str">
            <v>Microsoft Windows 7</v>
          </cell>
        </row>
        <row r="184">
          <cell r="A184">
            <v>534950</v>
          </cell>
          <cell r="B184">
            <v>5318</v>
          </cell>
          <cell r="C184" t="str">
            <v>Bưu điện phường Phong Phú</v>
          </cell>
          <cell r="D184" t="str">
            <v>Bưu điện KV Phong Điền</v>
          </cell>
          <cell r="E184" t="str">
            <v>VHX Điền Lộc</v>
          </cell>
          <cell r="F184" t="str">
            <v>Bưu điện VHX</v>
          </cell>
          <cell r="H184" t="str">
            <v>Desktop</v>
          </cell>
          <cell r="I184" t="str">
            <v>HUE-PDN-DLC</v>
          </cell>
          <cell r="J184" t="str">
            <v>Dell Optiplex 3040</v>
          </cell>
          <cell r="K184">
            <v>11</v>
          </cell>
          <cell r="L184">
            <v>2018</v>
          </cell>
          <cell r="M184" t="str">
            <v>Không đáp ứng cần nâng cấp</v>
          </cell>
          <cell r="N184" t="str">
            <v>Intel i3-6100 3.20GHz</v>
          </cell>
          <cell r="O184" t="str">
            <v>4GB</v>
          </cell>
          <cell r="P184" t="str">
            <v>HDD 500GB</v>
          </cell>
          <cell r="Q184" t="str">
            <v>Microsoft Windows 7</v>
          </cell>
        </row>
        <row r="185">
          <cell r="A185">
            <v>535010</v>
          </cell>
          <cell r="B185">
            <v>5318</v>
          </cell>
          <cell r="C185" t="str">
            <v>Bưu điện phường Phong Phú</v>
          </cell>
          <cell r="D185" t="str">
            <v>Bưu điện KV Phong Điền</v>
          </cell>
          <cell r="E185" t="str">
            <v>VHX Điền Môn</v>
          </cell>
          <cell r="F185" t="str">
            <v>Bưu điện VHX</v>
          </cell>
          <cell r="H185" t="str">
            <v>Desktop</v>
          </cell>
          <cell r="I185" t="str">
            <v>HUE-PDN-DMN</v>
          </cell>
          <cell r="J185" t="str">
            <v>Lắp ráp ĐNA</v>
          </cell>
          <cell r="K185">
            <v>11</v>
          </cell>
          <cell r="L185">
            <v>2018</v>
          </cell>
          <cell r="M185" t="str">
            <v>Không đáp ứng cần nâng cấp</v>
          </cell>
          <cell r="N185" t="str">
            <v>Intel G3250 3.20GHz</v>
          </cell>
          <cell r="O185" t="str">
            <v>2GB</v>
          </cell>
          <cell r="P185" t="str">
            <v>HDD 500GB</v>
          </cell>
          <cell r="Q185" t="str">
            <v>Microsoft Windows 10</v>
          </cell>
        </row>
        <row r="186">
          <cell r="A186">
            <v>534980</v>
          </cell>
          <cell r="B186">
            <v>5319</v>
          </cell>
          <cell r="C186" t="str">
            <v>Bưu điện phường Phong Quảng</v>
          </cell>
          <cell r="D186" t="str">
            <v>Bưu điện KV Phong Điền</v>
          </cell>
          <cell r="E186" t="str">
            <v>VHX Điền Hải</v>
          </cell>
          <cell r="F186" t="str">
            <v>Bưu điện VHX</v>
          </cell>
          <cell r="H186" t="str">
            <v>Desktop</v>
          </cell>
          <cell r="I186" t="str">
            <v>HUE-PDN-DHI1</v>
          </cell>
          <cell r="J186" t="str">
            <v>Lắp ráp ĐNA</v>
          </cell>
          <cell r="K186">
            <v>12</v>
          </cell>
          <cell r="L186">
            <v>2021</v>
          </cell>
          <cell r="M186" t="str">
            <v>Không đáp ứng cần nâng cấp</v>
          </cell>
          <cell r="N186" t="str">
            <v>Intel i3-7100 3.90GHz</v>
          </cell>
          <cell r="O186" t="str">
            <v>4GB</v>
          </cell>
          <cell r="P186" t="str">
            <v>HDD 500GB</v>
          </cell>
          <cell r="Q186" t="str">
            <v>Microsoft Windows 10</v>
          </cell>
        </row>
        <row r="187">
          <cell r="A187">
            <v>534980</v>
          </cell>
          <cell r="B187">
            <v>5319</v>
          </cell>
          <cell r="C187" t="str">
            <v>Bưu điện phường Phong Quảng</v>
          </cell>
          <cell r="D187" t="str">
            <v>Bưu điện KV Phong Điền</v>
          </cell>
          <cell r="E187" t="str">
            <v>VHX Điền Hải</v>
          </cell>
          <cell r="F187" t="str">
            <v>Bưu điện VHX</v>
          </cell>
          <cell r="H187" t="str">
            <v>Desktop</v>
          </cell>
          <cell r="I187" t="str">
            <v>HUE-PDN-DHI2</v>
          </cell>
          <cell r="J187" t="str">
            <v>Dell Optiplex 3040</v>
          </cell>
          <cell r="K187">
            <v>12</v>
          </cell>
          <cell r="L187">
            <v>2018</v>
          </cell>
          <cell r="M187" t="str">
            <v>Không đáp ứng cần nâng cấp</v>
          </cell>
          <cell r="N187" t="str">
            <v>Intel i3-6100 3.20GHz</v>
          </cell>
          <cell r="O187" t="str">
            <v>4GB</v>
          </cell>
          <cell r="P187" t="str">
            <v>HDD 500GB</v>
          </cell>
          <cell r="Q187" t="str">
            <v>Microsoft Windows 10</v>
          </cell>
        </row>
        <row r="188">
          <cell r="A188">
            <v>535000</v>
          </cell>
          <cell r="B188">
            <v>5319</v>
          </cell>
          <cell r="C188" t="str">
            <v>Bưu điện phường Phong Quảng</v>
          </cell>
          <cell r="D188" t="str">
            <v>Bưu điện KV Phong Điền</v>
          </cell>
          <cell r="E188" t="str">
            <v>VHX Phong Hải</v>
          </cell>
          <cell r="F188" t="str">
            <v>Bưu điện VHX</v>
          </cell>
          <cell r="H188" t="str">
            <v>Desktop</v>
          </cell>
          <cell r="I188" t="str">
            <v>HUE-PDN-PHI</v>
          </cell>
          <cell r="J188" t="str">
            <v>Lắp ráp ĐNA</v>
          </cell>
          <cell r="K188">
            <v>11</v>
          </cell>
          <cell r="L188">
            <v>2018</v>
          </cell>
          <cell r="M188" t="str">
            <v>Không đáp ứng cần nâng cấp</v>
          </cell>
          <cell r="N188" t="str">
            <v>Intel i3-4150 3.50GHz</v>
          </cell>
          <cell r="O188" t="str">
            <v>4GB</v>
          </cell>
          <cell r="P188" t="str">
            <v>SSD 120GB</v>
          </cell>
          <cell r="Q188" t="str">
            <v>Microsoft Windows 10</v>
          </cell>
        </row>
        <row r="189">
          <cell r="A189">
            <v>534640</v>
          </cell>
          <cell r="B189">
            <v>5319</v>
          </cell>
          <cell r="C189" t="str">
            <v>Bưu điện phường Phong Quảng</v>
          </cell>
          <cell r="D189" t="str">
            <v>Bưu điện KV Hương Trà - Quảng Điền</v>
          </cell>
          <cell r="E189" t="str">
            <v>Bưu cục Quảng Công</v>
          </cell>
          <cell r="F189" t="str">
            <v>Bưu cục giao dịch cấp 3</v>
          </cell>
          <cell r="H189" t="str">
            <v>Desktop</v>
          </cell>
          <cell r="I189" t="str">
            <v>HUE-QDN-QCG</v>
          </cell>
          <cell r="J189" t="str">
            <v>Lắp ráp ĐNA</v>
          </cell>
          <cell r="K189">
            <v>11</v>
          </cell>
          <cell r="L189">
            <v>2019</v>
          </cell>
          <cell r="M189" t="str">
            <v>Không đáp ứng cần nâng cấp</v>
          </cell>
          <cell r="N189" t="str">
            <v>Intel i3 4150 3.5GHz</v>
          </cell>
          <cell r="O189" t="str">
            <v>4GB</v>
          </cell>
          <cell r="P189" t="str">
            <v>HDD 500GB</v>
          </cell>
          <cell r="Q189" t="str">
            <v>Microsoft Windows 10</v>
          </cell>
        </row>
        <row r="190">
          <cell r="A190">
            <v>534661</v>
          </cell>
          <cell r="B190">
            <v>5319</v>
          </cell>
          <cell r="C190" t="str">
            <v>Bưu điện phường Phong Quảng</v>
          </cell>
          <cell r="D190" t="str">
            <v>Bưu điện KV Hương Trà - Quảng Điền</v>
          </cell>
          <cell r="E190" t="str">
            <v>Bưu điện VHX Quảng Ngạn</v>
          </cell>
          <cell r="F190" t="str">
            <v>Bưu điện VHX</v>
          </cell>
          <cell r="H190" t="str">
            <v>Desktop</v>
          </cell>
          <cell r="I190" t="str">
            <v>HUE-QDN-QNN</v>
          </cell>
          <cell r="J190" t="str">
            <v>Lắp ráp ĐNA</v>
          </cell>
          <cell r="K190">
            <v>11</v>
          </cell>
          <cell r="L190">
            <v>2019</v>
          </cell>
          <cell r="M190" t="str">
            <v>Đáp ứng</v>
          </cell>
          <cell r="N190" t="str">
            <v>Intel G4400 3.3GHz</v>
          </cell>
          <cell r="O190" t="str">
            <v>4GB</v>
          </cell>
          <cell r="P190" t="str">
            <v>SSD 120GB</v>
          </cell>
          <cell r="Q190" t="str">
            <v>Microsoft Windows 10</v>
          </cell>
        </row>
        <row r="191">
          <cell r="A191">
            <v>534720</v>
          </cell>
          <cell r="B191">
            <v>5320</v>
          </cell>
          <cell r="C191" t="str">
            <v>Bưu điện xã Đan Điền</v>
          </cell>
          <cell r="D191" t="str">
            <v>Bưu điện KV Hương Trà - Quảng Điền</v>
          </cell>
          <cell r="E191" t="str">
            <v>Bưu điện xã Đan Điền</v>
          </cell>
          <cell r="F191" t="str">
            <v>BĐ xã/phường</v>
          </cell>
          <cell r="G191" t="str">
            <v>KIM ANH</v>
          </cell>
          <cell r="H191" t="str">
            <v>Desktop</v>
          </cell>
          <cell r="I191" t="str">
            <v>HUE-DANDIEN-GD</v>
          </cell>
          <cell r="J191" t="str">
            <v>Lắp ráp ĐNA</v>
          </cell>
          <cell r="K191">
            <v>14</v>
          </cell>
          <cell r="L191">
            <v>2020</v>
          </cell>
          <cell r="M191" t="str">
            <v>Đáp ứng</v>
          </cell>
          <cell r="N191" t="str">
            <v>Intel G4400 3.3GHz</v>
          </cell>
          <cell r="O191" t="str">
            <v>8GB</v>
          </cell>
          <cell r="P191" t="str">
            <v>SSD 120GB</v>
          </cell>
          <cell r="Q191" t="str">
            <v>Microsoft Windows 10</v>
          </cell>
        </row>
        <row r="192">
          <cell r="A192">
            <v>534680</v>
          </cell>
          <cell r="B192">
            <v>5320</v>
          </cell>
          <cell r="C192" t="str">
            <v>Bưu điện xã Đan Điền</v>
          </cell>
          <cell r="D192" t="str">
            <v>Bưu điện KV Hương Trà - Quảng Điền</v>
          </cell>
          <cell r="E192" t="str">
            <v>Bưu điện VHX Quảng Lợi</v>
          </cell>
          <cell r="F192" t="str">
            <v>Bưu điện VHX</v>
          </cell>
          <cell r="H192" t="str">
            <v>Desktop</v>
          </cell>
          <cell r="I192" t="str">
            <v>HUE-QDN-QLI</v>
          </cell>
          <cell r="J192" t="str">
            <v>Dell Optiplex 3020</v>
          </cell>
          <cell r="K192">
            <v>11</v>
          </cell>
          <cell r="L192">
            <v>2016</v>
          </cell>
          <cell r="M192" t="str">
            <v>Đáp ứng</v>
          </cell>
          <cell r="N192" t="str">
            <v>Intel i3 4160T 3.1GHz</v>
          </cell>
          <cell r="O192" t="str">
            <v>8GB</v>
          </cell>
          <cell r="P192" t="str">
            <v>SSD 120GB</v>
          </cell>
          <cell r="Q192" t="str">
            <v>Microsoft Windows 10</v>
          </cell>
        </row>
        <row r="193">
          <cell r="A193">
            <v>534750</v>
          </cell>
          <cell r="B193">
            <v>5320</v>
          </cell>
          <cell r="C193" t="str">
            <v>Bưu điện xã Đan Điền</v>
          </cell>
          <cell r="D193" t="str">
            <v>Bưu điện KV Hương Trà - Quảng Điền</v>
          </cell>
          <cell r="E193" t="str">
            <v>Bưu điện VHX Quảng Phú</v>
          </cell>
          <cell r="F193" t="str">
            <v>Bưu điện VHX</v>
          </cell>
          <cell r="H193" t="str">
            <v>Desktop</v>
          </cell>
          <cell r="I193" t="str">
            <v>HUE-QDN-QPU</v>
          </cell>
          <cell r="J193" t="str">
            <v>Dell Optiplex 5060</v>
          </cell>
          <cell r="K193">
            <v>11</v>
          </cell>
          <cell r="L193">
            <v>2019</v>
          </cell>
          <cell r="M193" t="str">
            <v>Không đáp ứng cần nâng cấp</v>
          </cell>
          <cell r="N193" t="str">
            <v>Intel i3-8100 3.20GHz</v>
          </cell>
          <cell r="O193" t="str">
            <v>4GB</v>
          </cell>
          <cell r="P193" t="str">
            <v>HDD 500GB</v>
          </cell>
          <cell r="Q193" t="str">
            <v>Microsoft Windows 10</v>
          </cell>
        </row>
        <row r="194">
          <cell r="A194">
            <v>534700</v>
          </cell>
          <cell r="B194">
            <v>5320</v>
          </cell>
          <cell r="C194" t="str">
            <v>Bưu điện xã Đan Điền</v>
          </cell>
          <cell r="D194" t="str">
            <v>Bưu điện KV Hương Trà - Quảng Điền</v>
          </cell>
          <cell r="E194" t="str">
            <v>Bưu điện VHX Quảng Thái</v>
          </cell>
          <cell r="F194" t="str">
            <v>Bưu điện VHX</v>
          </cell>
          <cell r="H194" t="str">
            <v>Desktop</v>
          </cell>
          <cell r="I194" t="str">
            <v>HUE-QDN-QTI</v>
          </cell>
          <cell r="J194" t="str">
            <v>HP Prodesk 600 G5</v>
          </cell>
          <cell r="K194">
            <v>11</v>
          </cell>
          <cell r="L194">
            <v>2020</v>
          </cell>
          <cell r="M194" t="str">
            <v>Nhanh</v>
          </cell>
          <cell r="N194" t="str">
            <v>Intel i3 9100T 3.1GHz</v>
          </cell>
          <cell r="O194" t="str">
            <v>4GB</v>
          </cell>
          <cell r="P194" t="str">
            <v>SSD 120GB</v>
          </cell>
          <cell r="Q194" t="str">
            <v>Microsoft Windows 10</v>
          </cell>
        </row>
        <row r="195">
          <cell r="A195">
            <v>534720</v>
          </cell>
          <cell r="B195">
            <v>5320</v>
          </cell>
          <cell r="C195" t="str">
            <v>Bưu điện xã Đan Điền</v>
          </cell>
          <cell r="D195" t="str">
            <v>Bưu điện KV Hương Trà - Quảng Điền</v>
          </cell>
          <cell r="E195" t="str">
            <v>Bưu điện VHX Quảng Vinh</v>
          </cell>
          <cell r="F195" t="str">
            <v>Bưu điện VHX</v>
          </cell>
          <cell r="H195" t="str">
            <v>Desktop</v>
          </cell>
          <cell r="I195" t="str">
            <v>HUE-QDN-QVH</v>
          </cell>
          <cell r="J195" t="str">
            <v>Lắp ráp ĐNA</v>
          </cell>
          <cell r="K195">
            <v>11</v>
          </cell>
          <cell r="L195">
            <v>2018</v>
          </cell>
          <cell r="M195" t="str">
            <v>Đáp ứng</v>
          </cell>
          <cell r="N195" t="str">
            <v>Intel G4400 3.3GHz</v>
          </cell>
          <cell r="O195" t="str">
            <v>4GB</v>
          </cell>
          <cell r="P195" t="str">
            <v>SSD 250GB</v>
          </cell>
          <cell r="Q195" t="str">
            <v>Microsoft Windows 10</v>
          </cell>
        </row>
        <row r="196">
          <cell r="A196">
            <v>534720</v>
          </cell>
          <cell r="B196">
            <v>5320</v>
          </cell>
          <cell r="C196" t="str">
            <v>Bưu điện xã Đan Điền</v>
          </cell>
          <cell r="D196" t="str">
            <v>Bưu điện KV Hương Trà - Quảng Điền</v>
          </cell>
          <cell r="E196" t="str">
            <v>Bưu điện VHX Quảng Vinh</v>
          </cell>
          <cell r="F196" t="str">
            <v>Bưu điện VHX</v>
          </cell>
          <cell r="H196" t="str">
            <v>Desktop</v>
          </cell>
          <cell r="I196" t="str">
            <v>HUE-QDN-QVH1</v>
          </cell>
          <cell r="J196" t="str">
            <v>Lắp ráp ĐNA</v>
          </cell>
          <cell r="K196">
            <v>12</v>
          </cell>
          <cell r="L196">
            <v>2018</v>
          </cell>
          <cell r="M196" t="str">
            <v>Đáp ứng</v>
          </cell>
          <cell r="N196" t="str">
            <v>Intel G4400 3.3GHz</v>
          </cell>
          <cell r="O196" t="str">
            <v>4GB</v>
          </cell>
          <cell r="P196" t="str">
            <v>SSD 250GB</v>
          </cell>
          <cell r="Q196" t="str">
            <v>Microsoft Windows 10</v>
          </cell>
        </row>
        <row r="197">
          <cell r="A197">
            <v>534612</v>
          </cell>
          <cell r="B197">
            <v>5321</v>
          </cell>
          <cell r="C197" t="str">
            <v>Bưu điện xã Quảng Điền</v>
          </cell>
          <cell r="D197" t="str">
            <v>Bưu điện KV Hương Trà - Quảng Điền</v>
          </cell>
          <cell r="E197" t="str">
            <v>Bưu cục VP Bưu điện Quảng Điền</v>
          </cell>
          <cell r="F197" t="str">
            <v>Văn phòng</v>
          </cell>
          <cell r="G197" t="str">
            <v>gđ</v>
          </cell>
          <cell r="H197" t="str">
            <v>Desktop</v>
          </cell>
          <cell r="I197" t="str">
            <v>HUE-QDN-NGOCTG</v>
          </cell>
          <cell r="J197" t="str">
            <v>Lắp ráp ĐNA</v>
          </cell>
          <cell r="K197">
            <v>14</v>
          </cell>
          <cell r="L197">
            <v>2019</v>
          </cell>
          <cell r="M197" t="str">
            <v>Đáp ứng</v>
          </cell>
          <cell r="N197" t="str">
            <v>Intel i3 4150 3.5GHz</v>
          </cell>
          <cell r="O197" t="str">
            <v>8GB</v>
          </cell>
          <cell r="P197" t="str">
            <v>SSD 120GB</v>
          </cell>
          <cell r="Q197" t="str">
            <v>Microsoft Windows 10</v>
          </cell>
        </row>
        <row r="198">
          <cell r="A198">
            <v>534612</v>
          </cell>
          <cell r="B198">
            <v>5321</v>
          </cell>
          <cell r="C198" t="str">
            <v>Bưu điện xã Quảng Điền</v>
          </cell>
          <cell r="D198" t="str">
            <v>Bưu điện KV Hương Trà - Quảng Điền</v>
          </cell>
          <cell r="E198" t="str">
            <v>Bưu cục VP Bưu điện Quảng Điền</v>
          </cell>
          <cell r="F198" t="str">
            <v>Văn phòng</v>
          </cell>
          <cell r="G198" t="str">
            <v>Hồ Thân</v>
          </cell>
          <cell r="H198" t="str">
            <v>Desktop</v>
          </cell>
          <cell r="I198" t="str">
            <v>HUE-QDN-THAN</v>
          </cell>
          <cell r="J198" t="str">
            <v>Lắp ráp ĐNA</v>
          </cell>
          <cell r="K198">
            <v>12</v>
          </cell>
          <cell r="L198">
            <v>2019</v>
          </cell>
          <cell r="M198" t="str">
            <v>Đáp ứng</v>
          </cell>
          <cell r="N198" t="str">
            <v>Intel G3440 3.3GHz</v>
          </cell>
          <cell r="O198" t="str">
            <v>8GB</v>
          </cell>
          <cell r="P198" t="str">
            <v>SSD 120GB</v>
          </cell>
          <cell r="Q198" t="str">
            <v>Microsoft Windows 10</v>
          </cell>
        </row>
        <row r="199">
          <cell r="A199">
            <v>534612</v>
          </cell>
          <cell r="B199">
            <v>5321</v>
          </cell>
          <cell r="C199" t="str">
            <v>Bưu điện xã Quảng Điền</v>
          </cell>
          <cell r="D199" t="str">
            <v>Bưu điện KV Hương Trà - Quảng Điền</v>
          </cell>
          <cell r="E199" t="str">
            <v>Bưu cục VP Bưu điện Quảng Điền</v>
          </cell>
          <cell r="F199" t="str">
            <v>Văn phòng</v>
          </cell>
          <cell r="G199" t="str">
            <v>kd1</v>
          </cell>
          <cell r="H199" t="str">
            <v>Desktop</v>
          </cell>
          <cell r="I199" t="str">
            <v>HUE-HTA-GDTT04</v>
          </cell>
          <cell r="J199" t="str">
            <v>Lắp ráp ĐNA</v>
          </cell>
          <cell r="K199">
            <v>14</v>
          </cell>
          <cell r="L199">
            <v>2019</v>
          </cell>
          <cell r="M199" t="str">
            <v>Không đáp ứng cần nâng cấp</v>
          </cell>
          <cell r="N199" t="str">
            <v>Intel G3240 3.1GHz</v>
          </cell>
          <cell r="O199" t="str">
            <v>4GB</v>
          </cell>
          <cell r="P199" t="str">
            <v>HDD 500GB</v>
          </cell>
          <cell r="Q199" t="str">
            <v>Microsoft Windows 10</v>
          </cell>
        </row>
        <row r="200">
          <cell r="A200">
            <v>534612</v>
          </cell>
          <cell r="B200">
            <v>5321</v>
          </cell>
          <cell r="C200" t="str">
            <v>Bưu điện xã Quảng Điền</v>
          </cell>
          <cell r="D200" t="str">
            <v>Bưu điện KV Hương Trà - Quảng Điền</v>
          </cell>
          <cell r="E200" t="str">
            <v>Bưu cục VP Bưu điện Quảng Điền</v>
          </cell>
          <cell r="F200" t="str">
            <v>Văn phòng</v>
          </cell>
          <cell r="G200" t="str">
            <v>kd3</v>
          </cell>
          <cell r="H200" t="str">
            <v>Desktop</v>
          </cell>
          <cell r="I200" t="str">
            <v>HUE-QDN-THUYNT</v>
          </cell>
          <cell r="J200" t="str">
            <v>Lắp ráp ĐNA</v>
          </cell>
          <cell r="K200">
            <v>14</v>
          </cell>
          <cell r="L200">
            <v>2019</v>
          </cell>
          <cell r="M200" t="str">
            <v>Không đáp ứng cần nâng cấp</v>
          </cell>
          <cell r="N200" t="str">
            <v>Intel G3420 3.2GHz</v>
          </cell>
          <cell r="O200" t="str">
            <v>6GB</v>
          </cell>
          <cell r="P200" t="str">
            <v>SSD 120GB</v>
          </cell>
          <cell r="Q200" t="str">
            <v>Microsoft Windows 10</v>
          </cell>
        </row>
        <row r="201">
          <cell r="A201">
            <v>534600</v>
          </cell>
          <cell r="B201">
            <v>5321</v>
          </cell>
          <cell r="C201" t="str">
            <v>Bưu điện xã Quảng Điền</v>
          </cell>
          <cell r="D201" t="str">
            <v>Bưu điện KV Hương Trà - Quảng Điền</v>
          </cell>
          <cell r="E201" t="str">
            <v>Bưu cục Quảng Điền</v>
          </cell>
          <cell r="F201" t="str">
            <v>Bưu cục giao dịch cấp 2</v>
          </cell>
          <cell r="G201" t="str">
            <v>KSV</v>
          </cell>
          <cell r="H201" t="str">
            <v>Desktop</v>
          </cell>
          <cell r="I201" t="str">
            <v>HUE-QDN-THAN</v>
          </cell>
          <cell r="J201" t="str">
            <v>Lắp ráp ĐNA</v>
          </cell>
          <cell r="K201">
            <v>12</v>
          </cell>
          <cell r="L201">
            <v>2017</v>
          </cell>
          <cell r="M201" t="str">
            <v>Không đáp ứng cần nâng cấp</v>
          </cell>
          <cell r="N201" t="str">
            <v>Intel Pentium E6500 2.93GHz</v>
          </cell>
          <cell r="O201" t="str">
            <v>2GB</v>
          </cell>
          <cell r="P201" t="str">
            <v>HDD 500GB</v>
          </cell>
          <cell r="Q201" t="str">
            <v>Microsoft Windows 7</v>
          </cell>
        </row>
        <row r="202">
          <cell r="A202">
            <v>534612</v>
          </cell>
          <cell r="B202">
            <v>5321</v>
          </cell>
          <cell r="C202" t="str">
            <v>Bưu điện xã Quảng Điền</v>
          </cell>
          <cell r="D202" t="str">
            <v>Bưu điện KV Hương Trà - Quảng Điền</v>
          </cell>
          <cell r="E202" t="str">
            <v>Bưu cục VP Bưu điện Quảng Điền</v>
          </cell>
          <cell r="F202" t="str">
            <v>Văn phòng</v>
          </cell>
          <cell r="G202" t="str">
            <v>Lê Thị Như Ngọc</v>
          </cell>
          <cell r="H202" t="str">
            <v>Desktop</v>
          </cell>
          <cell r="I202" t="str">
            <v>HUE-QDN-NGOCLTN</v>
          </cell>
          <cell r="J202" t="str">
            <v>Lắp ráp ĐNA</v>
          </cell>
          <cell r="K202">
            <v>15</v>
          </cell>
          <cell r="L202">
            <v>2022</v>
          </cell>
          <cell r="M202" t="str">
            <v>Không đáp ứng cần nâng cấp</v>
          </cell>
          <cell r="N202" t="str">
            <v>Intel G3220 3.0GHz</v>
          </cell>
          <cell r="O202" t="str">
            <v>4GB</v>
          </cell>
          <cell r="P202" t="str">
            <v>HDD 500GB</v>
          </cell>
          <cell r="Q202" t="str">
            <v>Microsoft Windows 10</v>
          </cell>
        </row>
        <row r="203">
          <cell r="A203">
            <v>534600</v>
          </cell>
          <cell r="B203">
            <v>5321</v>
          </cell>
          <cell r="C203" t="str">
            <v>Bưu điện xã Quảng Điền</v>
          </cell>
          <cell r="D203" t="str">
            <v>Bưu điện KV Hương Trà - Quảng Điền</v>
          </cell>
          <cell r="E203" t="str">
            <v>Bưu cục Quảng Điền</v>
          </cell>
          <cell r="F203" t="str">
            <v>Bưu cục giao dịch cấp 2</v>
          </cell>
          <cell r="G203" t="str">
            <v>LPBANK</v>
          </cell>
          <cell r="H203" t="str">
            <v>Desktop</v>
          </cell>
          <cell r="I203" t="str">
            <v>HUE-QDN-GDTT03</v>
          </cell>
          <cell r="J203" t="str">
            <v>Dell Optiplex 3020</v>
          </cell>
          <cell r="K203">
            <v>14</v>
          </cell>
          <cell r="L203">
            <v>2016</v>
          </cell>
          <cell r="M203" t="str">
            <v>Không đáp ứng cần nâng cấp</v>
          </cell>
          <cell r="N203" t="str">
            <v>Intel i3 4160T 3.1GHz</v>
          </cell>
          <cell r="O203" t="str">
            <v>4GB</v>
          </cell>
          <cell r="P203" t="str">
            <v>SSD 240GB</v>
          </cell>
          <cell r="Q203" t="str">
            <v>Microsoft Windows 10</v>
          </cell>
        </row>
        <row r="204">
          <cell r="A204">
            <v>534612</v>
          </cell>
          <cell r="B204">
            <v>5321</v>
          </cell>
          <cell r="C204" t="str">
            <v>Bưu điện xã Quảng Điền</v>
          </cell>
          <cell r="D204" t="str">
            <v>Bưu điện KV Hương Trà - Quảng Điền</v>
          </cell>
          <cell r="E204" t="str">
            <v>Bưu cục VP Bưu điện Quảng Điền</v>
          </cell>
          <cell r="F204" t="str">
            <v>Văn phòng</v>
          </cell>
          <cell r="G204" t="str">
            <v>Trần Thị Bích Na</v>
          </cell>
          <cell r="H204" t="str">
            <v>Desktop</v>
          </cell>
          <cell r="I204" t="str">
            <v>HUE-QDN-NATTB</v>
          </cell>
          <cell r="J204" t="str">
            <v>Lắp ráp ĐNA</v>
          </cell>
          <cell r="K204">
            <v>13</v>
          </cell>
          <cell r="L204">
            <v>2018</v>
          </cell>
          <cell r="M204" t="str">
            <v>Không đáp ứng cần nâng cấp</v>
          </cell>
          <cell r="N204" t="str">
            <v>Intel G3220 3.0GHz</v>
          </cell>
          <cell r="O204" t="str">
            <v>2GB</v>
          </cell>
          <cell r="P204" t="str">
            <v>HDD 500GB</v>
          </cell>
          <cell r="Q204" t="str">
            <v>Microsoft Windows 7</v>
          </cell>
        </row>
        <row r="205">
          <cell r="A205">
            <v>534600</v>
          </cell>
          <cell r="B205">
            <v>5321</v>
          </cell>
          <cell r="C205" t="str">
            <v>Bưu điện xã Quảng Điền</v>
          </cell>
          <cell r="D205" t="str">
            <v>Bưu điện KV Hương Trà - Quảng Điền</v>
          </cell>
          <cell r="E205" t="str">
            <v>Bưu cục Quảng Điền</v>
          </cell>
          <cell r="F205" t="str">
            <v>Bưu cục giao dịch cấp 2</v>
          </cell>
          <cell r="H205" t="str">
            <v>Desktop</v>
          </cell>
          <cell r="I205" t="str">
            <v>HUE-QDN-BHXH</v>
          </cell>
          <cell r="J205" t="str">
            <v>Dell Optiplex 5060</v>
          </cell>
          <cell r="K205">
            <v>12</v>
          </cell>
          <cell r="L205">
            <v>2019</v>
          </cell>
          <cell r="M205" t="str">
            <v>Không đáp ứng cần nâng cấp</v>
          </cell>
          <cell r="N205" t="str">
            <v>Intel i3-8100 3.20GHz</v>
          </cell>
          <cell r="O205" t="str">
            <v>4GB</v>
          </cell>
          <cell r="P205" t="str">
            <v>HDD 500GB</v>
          </cell>
          <cell r="Q205" t="str">
            <v>Microsoft Windows 10</v>
          </cell>
        </row>
        <row r="206">
          <cell r="A206">
            <v>534600</v>
          </cell>
          <cell r="B206">
            <v>5321</v>
          </cell>
          <cell r="C206" t="str">
            <v>Bưu điện xã Quảng Điền</v>
          </cell>
          <cell r="D206" t="str">
            <v>Bưu điện KV Hương Trà - Quảng Điền</v>
          </cell>
          <cell r="E206" t="str">
            <v>Bưu cục Quảng Điền</v>
          </cell>
          <cell r="F206" t="str">
            <v>Bưu cục giao dịch cấp 2</v>
          </cell>
          <cell r="H206" t="str">
            <v>Desktop</v>
          </cell>
          <cell r="I206" t="str">
            <v>HUE-QDN-GDTT02</v>
          </cell>
          <cell r="J206" t="str">
            <v>Lắp ráp ĐNA</v>
          </cell>
          <cell r="K206">
            <v>14</v>
          </cell>
          <cell r="L206">
            <v>2019</v>
          </cell>
          <cell r="M206" t="str">
            <v>Đáp ứng</v>
          </cell>
          <cell r="N206" t="str">
            <v>Intel G3220 3.0GHz</v>
          </cell>
          <cell r="O206" t="str">
            <v>8GB</v>
          </cell>
          <cell r="P206" t="str">
            <v>SSD 240GB</v>
          </cell>
          <cell r="Q206" t="str">
            <v>Microsoft Windows 10</v>
          </cell>
        </row>
        <row r="207">
          <cell r="A207">
            <v>534600</v>
          </cell>
          <cell r="B207">
            <v>5321</v>
          </cell>
          <cell r="C207" t="str">
            <v>Bưu điện xã Quảng Điền</v>
          </cell>
          <cell r="D207" t="str">
            <v>Bưu điện KV Hương Trà - Quảng Điền</v>
          </cell>
          <cell r="E207" t="str">
            <v>Bưu cục Quảng Điền</v>
          </cell>
          <cell r="F207" t="str">
            <v>Bưu cục giao dịch cấp 2</v>
          </cell>
          <cell r="H207" t="str">
            <v>Desktop</v>
          </cell>
          <cell r="I207" t="str">
            <v>HUE-QDN-GDTT01</v>
          </cell>
          <cell r="J207" t="str">
            <v>POSBANK APEXA II</v>
          </cell>
          <cell r="K207">
            <v>14</v>
          </cell>
          <cell r="L207">
            <v>2021</v>
          </cell>
          <cell r="M207" t="str">
            <v>Đáp ứng</v>
          </cell>
          <cell r="N207" t="str">
            <v>Intel J1900 2.42GHz</v>
          </cell>
          <cell r="O207" t="str">
            <v>4GB</v>
          </cell>
          <cell r="P207" t="str">
            <v>SSD 120GB</v>
          </cell>
          <cell r="Q207" t="str">
            <v>Microsoft Windows 10</v>
          </cell>
        </row>
        <row r="208">
          <cell r="A208">
            <v>534650</v>
          </cell>
          <cell r="B208">
            <v>5321</v>
          </cell>
          <cell r="C208" t="str">
            <v>Bưu điện xã Quảng Điền</v>
          </cell>
          <cell r="D208" t="str">
            <v>Trung tâm Vận hành</v>
          </cell>
          <cell r="E208" t="str">
            <v>Bưu cục phát Quảng Điền</v>
          </cell>
          <cell r="F208" t="str">
            <v>Bưu cục phát</v>
          </cell>
          <cell r="H208" t="str">
            <v>Desktop</v>
          </cell>
          <cell r="K208">
            <v>0</v>
          </cell>
          <cell r="Q208" t="str">
            <v/>
          </cell>
        </row>
        <row r="209">
          <cell r="A209">
            <v>534800</v>
          </cell>
          <cell r="B209">
            <v>5321</v>
          </cell>
          <cell r="C209" t="str">
            <v>Bưu điện xã Quảng Điền</v>
          </cell>
          <cell r="D209" t="str">
            <v>Bưu điện KV Hương Trà - Quảng Điền</v>
          </cell>
          <cell r="E209" t="str">
            <v>Bưu điện VHX Quảng An</v>
          </cell>
          <cell r="F209" t="str">
            <v>Bưu điện VHX</v>
          </cell>
          <cell r="H209" t="str">
            <v>Desktop</v>
          </cell>
          <cell r="I209" t="str">
            <v>HUE-QDN-QAN</v>
          </cell>
          <cell r="J209" t="str">
            <v>Lắp ráp ĐNA</v>
          </cell>
          <cell r="K209">
            <v>11</v>
          </cell>
          <cell r="L209">
            <v>2019</v>
          </cell>
          <cell r="M209" t="str">
            <v>Đáp ứng</v>
          </cell>
          <cell r="N209" t="str">
            <v>Intel G3260 3.3Ghz</v>
          </cell>
          <cell r="O209" t="str">
            <v>4GB</v>
          </cell>
          <cell r="P209" t="str">
            <v>SSD 120GB</v>
          </cell>
          <cell r="Q209" t="str">
            <v>Microsoft Windows 10</v>
          </cell>
        </row>
        <row r="210">
          <cell r="A210">
            <v>534620</v>
          </cell>
          <cell r="B210">
            <v>5321</v>
          </cell>
          <cell r="C210" t="str">
            <v>Bưu điện xã Quảng Điền</v>
          </cell>
          <cell r="D210" t="str">
            <v>Bưu điện KV Hương Trà - Quảng Điền</v>
          </cell>
          <cell r="E210" t="str">
            <v>Bưu điện VHX Quảng Phước</v>
          </cell>
          <cell r="F210" t="str">
            <v>Bưu điện VHX</v>
          </cell>
          <cell r="H210" t="str">
            <v>Desktop</v>
          </cell>
          <cell r="I210" t="str">
            <v>HUE-QDN-PHC</v>
          </cell>
          <cell r="J210" t="str">
            <v>Dell Optiplex 5060</v>
          </cell>
          <cell r="K210">
            <v>11</v>
          </cell>
          <cell r="L210">
            <v>2019</v>
          </cell>
          <cell r="M210" t="str">
            <v>Không đáp ứng cần nâng cấp</v>
          </cell>
          <cell r="N210" t="str">
            <v>Intel i3-8100 3.20GHz</v>
          </cell>
          <cell r="O210" t="str">
            <v>4GB</v>
          </cell>
          <cell r="P210" t="str">
            <v>HDD 500GB</v>
          </cell>
          <cell r="Q210" t="str">
            <v>Microsoft Windows 10</v>
          </cell>
        </row>
        <row r="211">
          <cell r="A211">
            <v>534770</v>
          </cell>
          <cell r="B211">
            <v>5321</v>
          </cell>
          <cell r="C211" t="str">
            <v>Bưu điện xã Quảng Điền</v>
          </cell>
          <cell r="D211" t="str">
            <v>Bưu điện KV Hương Trà - Quảng Điền</v>
          </cell>
          <cell r="E211" t="str">
            <v>Bưu điện VHX Quảng Thọ</v>
          </cell>
          <cell r="F211" t="str">
            <v>Bưu điện VHX</v>
          </cell>
          <cell r="H211" t="str">
            <v>Desktop</v>
          </cell>
          <cell r="I211" t="str">
            <v>HUE-QDN-QTO</v>
          </cell>
          <cell r="J211" t="str">
            <v>Dell Optiplex 5060</v>
          </cell>
          <cell r="K211">
            <v>11</v>
          </cell>
          <cell r="L211">
            <v>2019</v>
          </cell>
          <cell r="M211" t="str">
            <v>Không đáp ứng cần nâng cấp</v>
          </cell>
          <cell r="N211" t="str">
            <v>Intel i3-8100 3.20GHz</v>
          </cell>
          <cell r="O211" t="str">
            <v>4GB</v>
          </cell>
          <cell r="P211" t="str">
            <v>HDD 500GB</v>
          </cell>
          <cell r="Q211" t="str">
            <v>Microsoft Windows 10</v>
          </cell>
        </row>
        <row r="212">
          <cell r="A212">
            <v>536960</v>
          </cell>
          <cell r="B212">
            <v>5322</v>
          </cell>
          <cell r="C212" t="str">
            <v>Bưu điện xã Phú Vinh</v>
          </cell>
          <cell r="D212" t="str">
            <v>Bưu điện KV Phú Vang</v>
          </cell>
          <cell r="E212" t="str">
            <v>Bưu cục Phú Diên</v>
          </cell>
          <cell r="F212" t="str">
            <v>Bưu cục giao dịch cấp 3</v>
          </cell>
          <cell r="H212" t="str">
            <v>Desktop</v>
          </cell>
          <cell r="I212" t="str">
            <v>HUE-PVG-PDN</v>
          </cell>
          <cell r="J212" t="str">
            <v>Lắp ráp ĐNA</v>
          </cell>
          <cell r="K212">
            <v>11</v>
          </cell>
          <cell r="L212">
            <v>2022</v>
          </cell>
          <cell r="M212" t="str">
            <v>Đáp ứng</v>
          </cell>
          <cell r="N212" t="str">
            <v>Intel i3 10105 4.4GHz</v>
          </cell>
          <cell r="O212" t="str">
            <v>8GB</v>
          </cell>
          <cell r="P212" t="str">
            <v>SSD 250GB</v>
          </cell>
          <cell r="Q212" t="str">
            <v>Microsoft Windows 10</v>
          </cell>
        </row>
        <row r="213">
          <cell r="A213">
            <v>537000</v>
          </cell>
          <cell r="B213">
            <v>5322</v>
          </cell>
          <cell r="C213" t="str">
            <v>Bưu điện xã Phú Vinh</v>
          </cell>
          <cell r="D213" t="str">
            <v>Bưu điện KV Phú Vang</v>
          </cell>
          <cell r="E213" t="str">
            <v>Bưu cục Vinh An</v>
          </cell>
          <cell r="F213" t="str">
            <v>Bưu cục giao dịch cấp 3</v>
          </cell>
          <cell r="H213" t="str">
            <v>Desktop</v>
          </cell>
          <cell r="I213" t="str">
            <v>HUE-PVG-VAN</v>
          </cell>
          <cell r="J213" t="str">
            <v>Lắp ráp ĐNA</v>
          </cell>
          <cell r="K213">
            <v>11</v>
          </cell>
          <cell r="L213">
            <v>2018</v>
          </cell>
          <cell r="M213" t="str">
            <v>Đáp ứng</v>
          </cell>
          <cell r="N213" t="str">
            <v>Intel G4400 3.3GHz</v>
          </cell>
          <cell r="O213" t="str">
            <v>8GB</v>
          </cell>
          <cell r="P213" t="str">
            <v>SSD 120GB</v>
          </cell>
          <cell r="Q213" t="str">
            <v>Microsoft Windows 10</v>
          </cell>
        </row>
        <row r="214">
          <cell r="A214">
            <v>536990</v>
          </cell>
          <cell r="B214">
            <v>5322</v>
          </cell>
          <cell r="C214" t="str">
            <v>Bưu điện xã Phú Vinh</v>
          </cell>
          <cell r="D214" t="str">
            <v>Bưu điện KV Phú Vang</v>
          </cell>
          <cell r="E214" t="str">
            <v>Bưu điện VHX Vinh Thanh</v>
          </cell>
          <cell r="F214" t="str">
            <v>Bưu điện VHX</v>
          </cell>
          <cell r="H214" t="str">
            <v>Desktop</v>
          </cell>
          <cell r="I214" t="str">
            <v>HUE-PVG-VTH2</v>
          </cell>
          <cell r="J214" t="str">
            <v>Dell Optiplex 5060</v>
          </cell>
          <cell r="K214">
            <v>12</v>
          </cell>
          <cell r="L214">
            <v>2019</v>
          </cell>
          <cell r="M214" t="str">
            <v>Đáp ứng</v>
          </cell>
          <cell r="N214" t="str">
            <v>Intel i3-8100 3.20GHz</v>
          </cell>
          <cell r="O214" t="str">
            <v>8GB</v>
          </cell>
          <cell r="P214" t="str">
            <v>SSD 120GB</v>
          </cell>
          <cell r="Q214" t="str">
            <v>Microsoft Windows 11</v>
          </cell>
        </row>
        <row r="215">
          <cell r="A215">
            <v>536990</v>
          </cell>
          <cell r="B215">
            <v>5322</v>
          </cell>
          <cell r="C215" t="str">
            <v>Bưu điện xã Phú Vinh</v>
          </cell>
          <cell r="D215" t="str">
            <v>Bưu điện KV Phú Vang</v>
          </cell>
          <cell r="E215" t="str">
            <v>Bưu điện VHX Vinh Thanh</v>
          </cell>
          <cell r="F215" t="str">
            <v>Bưu điện VHX</v>
          </cell>
          <cell r="H215" t="str">
            <v>Desktop</v>
          </cell>
          <cell r="I215" t="str">
            <v>HUE-PVG-VTH1</v>
          </cell>
          <cell r="J215" t="str">
            <v>Lắp ráp ĐNA</v>
          </cell>
          <cell r="K215">
            <v>12</v>
          </cell>
          <cell r="L215">
            <v>2018</v>
          </cell>
          <cell r="M215" t="str">
            <v>Chậm</v>
          </cell>
          <cell r="N215" t="str">
            <v>Intel G4400 3.3GHz</v>
          </cell>
          <cell r="O215" t="str">
            <v>8GB</v>
          </cell>
          <cell r="P215" t="str">
            <v>HDD 500GB</v>
          </cell>
          <cell r="Q215" t="str">
            <v>Microsoft Windows 10</v>
          </cell>
        </row>
        <row r="216">
          <cell r="A216">
            <v>536980</v>
          </cell>
          <cell r="B216">
            <v>5322</v>
          </cell>
          <cell r="C216" t="str">
            <v>Bưu điện xã Phú Vinh</v>
          </cell>
          <cell r="D216" t="str">
            <v>Bưu điện KV Phú Vang</v>
          </cell>
          <cell r="E216" t="str">
            <v>Bưu điện VHX Vinh Xuân</v>
          </cell>
          <cell r="F216" t="str">
            <v>Bưu điện VHX</v>
          </cell>
          <cell r="H216" t="str">
            <v>Desktop</v>
          </cell>
          <cell r="I216" t="str">
            <v>HUE-PVG-VXN</v>
          </cell>
          <cell r="J216" t="str">
            <v>Lắp ráp ĐNA</v>
          </cell>
          <cell r="K216">
            <v>11</v>
          </cell>
          <cell r="L216">
            <v>2022</v>
          </cell>
          <cell r="M216" t="str">
            <v>Đáp ứng</v>
          </cell>
          <cell r="N216" t="str">
            <v>Intel i3 10105 4.4GHz</v>
          </cell>
          <cell r="O216" t="str">
            <v>8GB</v>
          </cell>
          <cell r="P216" t="str">
            <v>SSD 250GB</v>
          </cell>
          <cell r="Q216" t="str">
            <v>Microsoft Windows 10</v>
          </cell>
        </row>
        <row r="217">
          <cell r="A217">
            <v>536990</v>
          </cell>
          <cell r="B217">
            <v>5322</v>
          </cell>
          <cell r="C217" t="str">
            <v>Bưu điện xã Phú Vinh</v>
          </cell>
          <cell r="D217" t="str">
            <v>Bưu điện Phú Vang</v>
          </cell>
          <cell r="E217" t="str">
            <v>Bưu điện xã Phú Vinh</v>
          </cell>
          <cell r="F217" t="str">
            <v>BĐ xã/phường</v>
          </cell>
          <cell r="H217" t="str">
            <v>Desktop</v>
          </cell>
          <cell r="I217" t="str">
            <v>HUE-PVH-GD</v>
          </cell>
          <cell r="M217" t="str">
            <v>Đáp ứng</v>
          </cell>
          <cell r="N217" t="str">
            <v>AMD Ryzen 5 5500GT</v>
          </cell>
          <cell r="O217" t="str">
            <v>8GB</v>
          </cell>
          <cell r="P217" t="str">
            <v>SSD 500GB</v>
          </cell>
          <cell r="Q217" t="str">
            <v>Microsoft Windows 10</v>
          </cell>
        </row>
        <row r="218">
          <cell r="A218">
            <v>536830</v>
          </cell>
          <cell r="B218">
            <v>5323</v>
          </cell>
          <cell r="C218" t="str">
            <v>Bưu điện xã Phú Hồ</v>
          </cell>
          <cell r="D218" t="str">
            <v>Bưu điện KV Phú Vang</v>
          </cell>
          <cell r="E218" t="str">
            <v>Bưu điện xã Phú Hồ</v>
          </cell>
          <cell r="F218" t="str">
            <v>BĐ xã/phường</v>
          </cell>
          <cell r="G218" t="str">
            <v>NGUYỄN VĂN TUẤN</v>
          </cell>
          <cell r="H218" t="str">
            <v>Desktop</v>
          </cell>
          <cell r="I218" t="str">
            <v>HUE-PHUHO</v>
          </cell>
          <cell r="K218">
            <v>9</v>
          </cell>
          <cell r="Q218" t="str">
            <v/>
          </cell>
        </row>
        <row r="219">
          <cell r="A219">
            <v>536830</v>
          </cell>
          <cell r="B219">
            <v>5323</v>
          </cell>
          <cell r="C219" t="str">
            <v>Bưu điện xã Phú Hồ</v>
          </cell>
          <cell r="D219" t="str">
            <v>Bưu điện KV Phú Vang</v>
          </cell>
          <cell r="E219" t="str">
            <v>Bưu điện VHX Phú Hồ</v>
          </cell>
          <cell r="F219" t="str">
            <v>Bưu điện VHX</v>
          </cell>
          <cell r="H219" t="str">
            <v>Desktop</v>
          </cell>
          <cell r="I219" t="str">
            <v>HUE-PVG-PHO</v>
          </cell>
          <cell r="J219" t="str">
            <v>Lắp ráp ĐNA</v>
          </cell>
          <cell r="K219">
            <v>11</v>
          </cell>
          <cell r="L219">
            <v>2020</v>
          </cell>
          <cell r="M219" t="str">
            <v>Nhanh</v>
          </cell>
          <cell r="N219" t="str">
            <v>Intel G4400 3.3GHz</v>
          </cell>
          <cell r="O219" t="str">
            <v>8GB</v>
          </cell>
          <cell r="P219" t="str">
            <v>SSD 250GB</v>
          </cell>
          <cell r="Q219" t="str">
            <v>Microsoft Windows 10</v>
          </cell>
        </row>
        <row r="220">
          <cell r="A220">
            <v>536850</v>
          </cell>
          <cell r="B220">
            <v>5323</v>
          </cell>
          <cell r="C220" t="str">
            <v>Bưu điện xã Phú Hồ</v>
          </cell>
          <cell r="D220" t="str">
            <v>Bưu điện KV Phú Vang</v>
          </cell>
          <cell r="E220" t="str">
            <v>Bưu điện VHX Phú Lương</v>
          </cell>
          <cell r="F220" t="str">
            <v>Bưu điện VHX</v>
          </cell>
          <cell r="H220" t="str">
            <v>Desktop</v>
          </cell>
          <cell r="I220" t="str">
            <v>HUE-PVG-PLG</v>
          </cell>
          <cell r="J220" t="str">
            <v>Dell Optiplex 3040</v>
          </cell>
          <cell r="K220">
            <v>11</v>
          </cell>
          <cell r="L220">
            <v>2018</v>
          </cell>
          <cell r="M220" t="str">
            <v>Không đáp ứng cần nâng cấp</v>
          </cell>
          <cell r="N220" t="str">
            <v>Intel i3-6100 3.20GHz</v>
          </cell>
          <cell r="O220" t="str">
            <v>4GB</v>
          </cell>
          <cell r="P220" t="str">
            <v>HDD 500GB</v>
          </cell>
          <cell r="Q220" t="str">
            <v>Microsoft Windows 7</v>
          </cell>
        </row>
        <row r="221">
          <cell r="A221">
            <v>536940</v>
          </cell>
          <cell r="B221">
            <v>5323</v>
          </cell>
          <cell r="C221" t="str">
            <v>Bưu điện xã Phú Hồ</v>
          </cell>
          <cell r="D221" t="str">
            <v>Bưu điện KV Phú Vang</v>
          </cell>
          <cell r="E221" t="str">
            <v>Bưu điện VHX Phú Xuân</v>
          </cell>
          <cell r="F221" t="str">
            <v>Bưu điện VHX</v>
          </cell>
          <cell r="H221" t="str">
            <v>Desktop</v>
          </cell>
          <cell r="I221" t="str">
            <v>HUE-PVG-PXN</v>
          </cell>
          <cell r="J221" t="str">
            <v>Lắp ráp ĐNA</v>
          </cell>
          <cell r="K221">
            <v>11</v>
          </cell>
          <cell r="L221">
            <v>2018</v>
          </cell>
          <cell r="M221" t="str">
            <v>Chậm</v>
          </cell>
          <cell r="N221" t="str">
            <v>Intel G4400 3.3GHz</v>
          </cell>
          <cell r="O221" t="str">
            <v>4GB</v>
          </cell>
          <cell r="P221" t="str">
            <v>HDD 500GB</v>
          </cell>
          <cell r="Q221" t="str">
            <v>Microsoft Windows 10</v>
          </cell>
        </row>
        <row r="222">
          <cell r="A222">
            <v>536879</v>
          </cell>
          <cell r="B222">
            <v>5324</v>
          </cell>
          <cell r="C222" t="str">
            <v>Bưu điện xã Phú Vang</v>
          </cell>
          <cell r="D222" t="str">
            <v>Bưu điện KV Phú Vang</v>
          </cell>
          <cell r="E222" t="str">
            <v>Bưu cục VP BĐ huyện Phú Vang</v>
          </cell>
          <cell r="F222" t="str">
            <v>Văn phòng</v>
          </cell>
          <cell r="G222" t="str">
            <v>ĐỖ THỊ TUYẾN</v>
          </cell>
          <cell r="H222" t="str">
            <v>Desktop</v>
          </cell>
          <cell r="I222" t="str">
            <v>HUE-PVG-TUYETDT</v>
          </cell>
          <cell r="J222" t="str">
            <v>Lắp ráp ĐNA</v>
          </cell>
          <cell r="K222">
            <v>15</v>
          </cell>
          <cell r="L222">
            <v>2016</v>
          </cell>
          <cell r="M222" t="str">
            <v>Không đáp ứng cần nâng cấp</v>
          </cell>
          <cell r="N222" t="str">
            <v>Intel E5700 3.0GHz</v>
          </cell>
          <cell r="O222" t="str">
            <v>2GB</v>
          </cell>
          <cell r="P222" t="str">
            <v>HDD 80GB</v>
          </cell>
          <cell r="Q222" t="str">
            <v>Microsoft Windows 7</v>
          </cell>
        </row>
        <row r="223">
          <cell r="A223">
            <v>536879</v>
          </cell>
          <cell r="B223">
            <v>5324</v>
          </cell>
          <cell r="C223" t="str">
            <v>Bưu điện xã Phú Vang</v>
          </cell>
          <cell r="D223" t="str">
            <v>Bưu điện KV Phú Vang</v>
          </cell>
          <cell r="E223" t="str">
            <v>Bưu cục VP BĐ huyện Phú Vang</v>
          </cell>
          <cell r="F223" t="str">
            <v>Văn phòng</v>
          </cell>
          <cell r="G223" t="str">
            <v>GĐ</v>
          </cell>
          <cell r="H223" t="str">
            <v>Desktop</v>
          </cell>
          <cell r="K223">
            <v>0</v>
          </cell>
          <cell r="L223">
            <v>2018</v>
          </cell>
          <cell r="M223" t="str">
            <v>Chậm</v>
          </cell>
          <cell r="N223" t="str">
            <v>Intel G4440 3.3GHz</v>
          </cell>
          <cell r="O223" t="str">
            <v>4GB</v>
          </cell>
          <cell r="P223" t="str">
            <v>HDD 500GB</v>
          </cell>
          <cell r="Q223" t="str">
            <v/>
          </cell>
        </row>
        <row r="224">
          <cell r="A224">
            <v>536700</v>
          </cell>
          <cell r="B224">
            <v>5324</v>
          </cell>
          <cell r="C224" t="str">
            <v>Bưu điện xã Phú Vang</v>
          </cell>
          <cell r="D224" t="str">
            <v>Bưu điện KV Phú Vang</v>
          </cell>
          <cell r="E224" t="str">
            <v>Bưu cục Phú Vang</v>
          </cell>
          <cell r="F224" t="str">
            <v>Bưu cục giao dịch cấp 2</v>
          </cell>
          <cell r="G224" t="str">
            <v>KSV TCBC</v>
          </cell>
          <cell r="H224" t="str">
            <v>Desktop</v>
          </cell>
          <cell r="I224" t="str">
            <v>HUE-PVG-YENLTH</v>
          </cell>
          <cell r="J224" t="str">
            <v>Lắp ráp ĐNA</v>
          </cell>
          <cell r="K224">
            <v>14</v>
          </cell>
          <cell r="L224">
            <v>2021</v>
          </cell>
          <cell r="M224" t="str">
            <v>Đáp ứng</v>
          </cell>
          <cell r="N224" t="str">
            <v>Intel i3 10105 4.4GHz</v>
          </cell>
          <cell r="O224" t="str">
            <v>8GB</v>
          </cell>
          <cell r="P224" t="str">
            <v>SSD 250GB</v>
          </cell>
          <cell r="Q224" t="str">
            <v>Microsoft Windows 10</v>
          </cell>
        </row>
        <row r="225">
          <cell r="A225">
            <v>536700</v>
          </cell>
          <cell r="B225">
            <v>5324</v>
          </cell>
          <cell r="C225" t="str">
            <v>Bưu điện xã Phú Vang</v>
          </cell>
          <cell r="D225" t="str">
            <v>Bưu điện KV Phú Vang</v>
          </cell>
          <cell r="E225" t="str">
            <v>Bưu cục Phú Vang</v>
          </cell>
          <cell r="F225" t="str">
            <v>Bưu cục giao dịch cấp 2</v>
          </cell>
          <cell r="G225" t="str">
            <v>LPBANK</v>
          </cell>
          <cell r="H225" t="str">
            <v>Desktop</v>
          </cell>
          <cell r="I225" t="str">
            <v>HUE-PVG-GDTT03</v>
          </cell>
          <cell r="J225" t="str">
            <v>Lắp ráp ĐNA</v>
          </cell>
          <cell r="K225">
            <v>14</v>
          </cell>
          <cell r="L225">
            <v>2019</v>
          </cell>
          <cell r="M225" t="str">
            <v>Đáp ứng</v>
          </cell>
          <cell r="N225" t="str">
            <v>Intel G4400 3.3GHz</v>
          </cell>
          <cell r="O225" t="str">
            <v>4GB</v>
          </cell>
          <cell r="P225" t="str">
            <v>SSD 120GB</v>
          </cell>
          <cell r="Q225" t="str">
            <v>Microsoft Windows 10</v>
          </cell>
        </row>
        <row r="226">
          <cell r="A226">
            <v>536879</v>
          </cell>
          <cell r="B226">
            <v>5324</v>
          </cell>
          <cell r="C226" t="str">
            <v>Bưu điện xã Phú Vang</v>
          </cell>
          <cell r="D226" t="str">
            <v>Bưu điện KV Phú Vang</v>
          </cell>
          <cell r="E226" t="str">
            <v>Bưu cục VP BĐ huyện Phú Vang</v>
          </cell>
          <cell r="F226" t="str">
            <v>Văn phòng</v>
          </cell>
          <cell r="G226" t="str">
            <v>TRẦN THỊ DIỆP</v>
          </cell>
          <cell r="H226" t="str">
            <v>Desktop</v>
          </cell>
          <cell r="I226" t="str">
            <v>HUE-PVG-DIEPTT</v>
          </cell>
          <cell r="J226" t="str">
            <v>Lắp ráp ĐNA</v>
          </cell>
          <cell r="K226">
            <v>14</v>
          </cell>
          <cell r="L226">
            <v>2022</v>
          </cell>
          <cell r="M226" t="str">
            <v>Đáp ứng</v>
          </cell>
          <cell r="N226" t="str">
            <v>Intel i3 10105 4.4GHz</v>
          </cell>
          <cell r="O226" t="str">
            <v>8GB</v>
          </cell>
          <cell r="P226" t="str">
            <v>SSD 250GB</v>
          </cell>
          <cell r="Q226" t="str">
            <v>Microsoft Windows 11</v>
          </cell>
        </row>
        <row r="227">
          <cell r="A227">
            <v>536879</v>
          </cell>
          <cell r="B227">
            <v>5324</v>
          </cell>
          <cell r="C227" t="str">
            <v>Bưu điện xã Phú Vang</v>
          </cell>
          <cell r="D227" t="str">
            <v>Bưu điện KV Phú Vang</v>
          </cell>
          <cell r="E227" t="str">
            <v>Bưu cục VP BĐ huyện Phú Vang</v>
          </cell>
          <cell r="F227" t="str">
            <v>Văn phòng</v>
          </cell>
          <cell r="G227" t="str">
            <v>TRẦN XUÂN LUYẾN</v>
          </cell>
          <cell r="H227" t="str">
            <v>Desktop</v>
          </cell>
          <cell r="I227" t="str">
            <v>HUE-PVG-LUYENTX</v>
          </cell>
          <cell r="J227" t="str">
            <v>Dell Optiplex 3020</v>
          </cell>
          <cell r="K227">
            <v>15</v>
          </cell>
          <cell r="L227">
            <v>2016</v>
          </cell>
          <cell r="M227" t="str">
            <v>Đáp ứng</v>
          </cell>
          <cell r="N227" t="str">
            <v>Intel i3 4160T 3.1GHz</v>
          </cell>
          <cell r="O227" t="str">
            <v>4GB</v>
          </cell>
          <cell r="P227" t="str">
            <v>SSD 250GB</v>
          </cell>
          <cell r="Q227" t="str">
            <v>Microsoft Windows 8.1</v>
          </cell>
        </row>
        <row r="228">
          <cell r="A228">
            <v>536700</v>
          </cell>
          <cell r="B228">
            <v>5324</v>
          </cell>
          <cell r="C228" t="str">
            <v>Bưu điện xã Phú Vang</v>
          </cell>
          <cell r="D228" t="str">
            <v>Bưu điện KV Phú Vang</v>
          </cell>
          <cell r="E228" t="str">
            <v>Bưu cục Phú Vang</v>
          </cell>
          <cell r="F228" t="str">
            <v>Bưu cục giao dịch cấp 2</v>
          </cell>
          <cell r="H228" t="str">
            <v>Desktop</v>
          </cell>
          <cell r="I228" t="str">
            <v>HUE-PVG-GDTT01</v>
          </cell>
          <cell r="J228" t="str">
            <v>Lắp ráp ĐNA</v>
          </cell>
          <cell r="K228">
            <v>14</v>
          </cell>
          <cell r="L228">
            <v>2018</v>
          </cell>
          <cell r="M228" t="str">
            <v>Đáp ứng</v>
          </cell>
          <cell r="N228" t="str">
            <v>Intel G4400 3.3GHz</v>
          </cell>
          <cell r="O228" t="str">
            <v>4GB</v>
          </cell>
          <cell r="P228" t="str">
            <v>SSD 120GB</v>
          </cell>
          <cell r="Q228" t="str">
            <v>Microsoft Windows 10</v>
          </cell>
        </row>
        <row r="229">
          <cell r="A229">
            <v>536700</v>
          </cell>
          <cell r="B229">
            <v>5324</v>
          </cell>
          <cell r="C229" t="str">
            <v>Bưu điện xã Phú Vang</v>
          </cell>
          <cell r="D229" t="str">
            <v>Bưu điện KV Phú Vang</v>
          </cell>
          <cell r="E229" t="str">
            <v>Bưu cục Phú Vang</v>
          </cell>
          <cell r="F229" t="str">
            <v>Bưu cục giao dịch cấp 2</v>
          </cell>
          <cell r="H229" t="str">
            <v>Desktop</v>
          </cell>
          <cell r="I229" t="str">
            <v>HUE-PVG-GDTT02</v>
          </cell>
          <cell r="J229" t="str">
            <v>Dell Optiplex 5060</v>
          </cell>
          <cell r="K229">
            <v>14</v>
          </cell>
          <cell r="L229">
            <v>2019</v>
          </cell>
          <cell r="M229" t="str">
            <v>Không đáp ứng cần nâng cấp</v>
          </cell>
          <cell r="N229" t="str">
            <v>Intel i3-8100 3.20GHz</v>
          </cell>
          <cell r="O229" t="str">
            <v>4GB</v>
          </cell>
          <cell r="P229" t="str">
            <v>HDD 500GB</v>
          </cell>
          <cell r="Q229" t="str">
            <v>Microsoft Windows 10</v>
          </cell>
        </row>
        <row r="230">
          <cell r="A230">
            <v>536890</v>
          </cell>
          <cell r="B230">
            <v>5324</v>
          </cell>
          <cell r="C230" t="str">
            <v>Bưu điện xã Phú Vang</v>
          </cell>
          <cell r="D230" t="str">
            <v>Bưu điện KV Phú Vang</v>
          </cell>
          <cell r="E230" t="str">
            <v>Bưu cục Vinh Thái</v>
          </cell>
          <cell r="F230" t="str">
            <v>Bưu cục giao dịch cấp 3</v>
          </cell>
          <cell r="H230" t="str">
            <v>Desktop</v>
          </cell>
          <cell r="I230" t="str">
            <v>HUE-PVG-VTI</v>
          </cell>
          <cell r="J230" t="str">
            <v>Dell Optiplex 3040</v>
          </cell>
          <cell r="K230">
            <v>11</v>
          </cell>
          <cell r="L230">
            <v>2018</v>
          </cell>
          <cell r="M230" t="str">
            <v>Không đáp ứng cần nâng cấp</v>
          </cell>
          <cell r="N230" t="str">
            <v>Intel i3-6100 3.20GHz</v>
          </cell>
          <cell r="O230" t="str">
            <v>4GB</v>
          </cell>
          <cell r="P230" t="str">
            <v>HDD 500GB</v>
          </cell>
          <cell r="Q230" t="str">
            <v>Microsoft Windows 11</v>
          </cell>
        </row>
        <row r="231">
          <cell r="A231">
            <v>536920</v>
          </cell>
          <cell r="B231">
            <v>5324</v>
          </cell>
          <cell r="C231" t="str">
            <v>Bưu điện xã Phú Vang</v>
          </cell>
          <cell r="D231" t="str">
            <v>Bưu điện KV Phú Vang</v>
          </cell>
          <cell r="E231" t="str">
            <v>Bưu điện VHX Vinh Hà</v>
          </cell>
          <cell r="F231" t="str">
            <v>Bưu điện VHX</v>
          </cell>
          <cell r="H231" t="str">
            <v>Desktop</v>
          </cell>
          <cell r="I231" t="str">
            <v>HUE-PVG-VHA</v>
          </cell>
          <cell r="J231" t="str">
            <v>Lắp ráp ĐNA</v>
          </cell>
          <cell r="K231">
            <v>11</v>
          </cell>
          <cell r="L231">
            <v>2018</v>
          </cell>
          <cell r="M231" t="str">
            <v>Chậm</v>
          </cell>
          <cell r="N231" t="str">
            <v>Intel G4400 3.3GHz</v>
          </cell>
          <cell r="O231" t="str">
            <v>4GB</v>
          </cell>
          <cell r="P231" t="str">
            <v>HDD 500GB</v>
          </cell>
          <cell r="Q231" t="str">
            <v>Microsoft Windows 10</v>
          </cell>
        </row>
        <row r="232">
          <cell r="A232">
            <v>536879</v>
          </cell>
          <cell r="B232">
            <v>5324</v>
          </cell>
          <cell r="C232" t="str">
            <v>Bưu điện xã Phú Vang</v>
          </cell>
          <cell r="D232" t="str">
            <v>Bưu điện KV Phú Vang</v>
          </cell>
          <cell r="E232" t="str">
            <v>VP Phú Vang</v>
          </cell>
          <cell r="F232" t="str">
            <v>Văn phòng</v>
          </cell>
          <cell r="H232" t="str">
            <v>Desktop</v>
          </cell>
          <cell r="I232" t="str">
            <v>HUE-PVG-HCC</v>
          </cell>
          <cell r="J232" t="str">
            <v>Dell Optiplex 5060</v>
          </cell>
          <cell r="K232">
            <v>11</v>
          </cell>
          <cell r="L232">
            <v>2019</v>
          </cell>
          <cell r="M232" t="str">
            <v>Không đáp ứng cần nâng cấp</v>
          </cell>
          <cell r="N232" t="str">
            <v>Intel i3-8100 3.20GHz</v>
          </cell>
          <cell r="O232" t="str">
            <v>8GB</v>
          </cell>
          <cell r="P232" t="str">
            <v>HDD 500GB</v>
          </cell>
          <cell r="Q232" t="str">
            <v>Microsoft Windows 10</v>
          </cell>
        </row>
        <row r="233">
          <cell r="A233">
            <v>537150</v>
          </cell>
          <cell r="B233">
            <v>5325</v>
          </cell>
          <cell r="C233" t="str">
            <v>Bưu điện xã Vinh Lộc</v>
          </cell>
          <cell r="D233" t="str">
            <v>Bưu điện KV Phú Lộc</v>
          </cell>
          <cell r="E233" t="str">
            <v>Bưu cục Cửa Tư Hiền</v>
          </cell>
          <cell r="F233" t="str">
            <v>Bưu cục giao dịch cấp 3</v>
          </cell>
          <cell r="H233" t="str">
            <v>Desktop</v>
          </cell>
          <cell r="I233" t="str">
            <v>HUE-PLC-CTH</v>
          </cell>
          <cell r="J233" t="str">
            <v>Dell Optiplex 5060</v>
          </cell>
          <cell r="K233">
            <v>11</v>
          </cell>
          <cell r="L233">
            <v>2019</v>
          </cell>
          <cell r="M233" t="str">
            <v>Không đáp ứng cần nâng cấp</v>
          </cell>
          <cell r="N233" t="str">
            <v>Intel i3-8100 3.20GHz</v>
          </cell>
          <cell r="O233" t="str">
            <v>4GB</v>
          </cell>
          <cell r="P233" t="str">
            <v>SSD 250GB</v>
          </cell>
          <cell r="Q233" t="str">
            <v>Microsoft Windows 10</v>
          </cell>
        </row>
        <row r="234">
          <cell r="A234">
            <v>537180</v>
          </cell>
          <cell r="B234">
            <v>5325</v>
          </cell>
          <cell r="C234" t="str">
            <v>Bưu điện xã Vinh Lộc</v>
          </cell>
          <cell r="D234" t="str">
            <v>Bưu điện KV Phú Lộc</v>
          </cell>
          <cell r="E234" t="str">
            <v>Bưu cục Phụng Chánh</v>
          </cell>
          <cell r="F234" t="str">
            <v>Bưu cục giao dịch cấp 3</v>
          </cell>
          <cell r="H234" t="str">
            <v>Desktop</v>
          </cell>
          <cell r="I234" t="str">
            <v>HUE-PLC-PCH</v>
          </cell>
          <cell r="J234" t="str">
            <v>Lắp ráp ĐNA</v>
          </cell>
          <cell r="K234">
            <v>11</v>
          </cell>
          <cell r="L234">
            <v>2019</v>
          </cell>
          <cell r="M234" t="str">
            <v>Chậm</v>
          </cell>
          <cell r="N234" t="str">
            <v>Intel i3 7100 3.9GHz</v>
          </cell>
          <cell r="O234" t="str">
            <v>4GB</v>
          </cell>
          <cell r="P234" t="str">
            <v>HDD 500GB</v>
          </cell>
          <cell r="Q234" t="str">
            <v>Microsoft Windows 10</v>
          </cell>
        </row>
        <row r="235">
          <cell r="A235">
            <v>537160</v>
          </cell>
          <cell r="B235">
            <v>5325</v>
          </cell>
          <cell r="C235" t="str">
            <v>Bưu điện xã Vinh Lộc</v>
          </cell>
          <cell r="D235" t="str">
            <v>Bưu điện KV Phú Lộc</v>
          </cell>
          <cell r="E235" t="str">
            <v>VHX Vinh Hải</v>
          </cell>
          <cell r="F235" t="str">
            <v>Bưu điện VHX</v>
          </cell>
          <cell r="H235" t="str">
            <v>Desktop</v>
          </cell>
          <cell r="J235" t="str">
            <v>Máy hỏng</v>
          </cell>
          <cell r="K235">
            <v>0</v>
          </cell>
          <cell r="Q235" t="str">
            <v/>
          </cell>
        </row>
        <row r="236">
          <cell r="A236">
            <v>537181</v>
          </cell>
          <cell r="B236">
            <v>5325</v>
          </cell>
          <cell r="C236" t="str">
            <v>Bưu điện xã Vinh Lộc</v>
          </cell>
          <cell r="D236" t="str">
            <v>Bưu điện KV Phú Lộc</v>
          </cell>
          <cell r="E236" t="str">
            <v>VHX Vinh Hưng</v>
          </cell>
          <cell r="F236" t="str">
            <v>Bưu điện VHX</v>
          </cell>
          <cell r="H236" t="str">
            <v>Desktop</v>
          </cell>
          <cell r="I236" t="str">
            <v>HUE-PLC-VHG1</v>
          </cell>
          <cell r="J236" t="str">
            <v>HP Prodesk 600 G5</v>
          </cell>
          <cell r="K236">
            <v>12</v>
          </cell>
          <cell r="L236">
            <v>2020</v>
          </cell>
          <cell r="M236" t="str">
            <v>Nhanh</v>
          </cell>
          <cell r="N236" t="str">
            <v>Intel i3 9100T 3.1GHz</v>
          </cell>
          <cell r="O236" t="str">
            <v>4GB</v>
          </cell>
          <cell r="P236" t="str">
            <v>HDD 500GB</v>
          </cell>
          <cell r="Q236" t="str">
            <v>Microsoft Windows 11</v>
          </cell>
        </row>
        <row r="237">
          <cell r="A237">
            <v>537190</v>
          </cell>
          <cell r="B237">
            <v>5325</v>
          </cell>
          <cell r="C237" t="str">
            <v>Bưu điện xã Vinh Lộc</v>
          </cell>
          <cell r="D237" t="str">
            <v>Bưu điện KV Phú Lộc</v>
          </cell>
          <cell r="E237" t="str">
            <v>VHX Vinh Mỹ</v>
          </cell>
          <cell r="F237" t="str">
            <v>Bưu điện VHX</v>
          </cell>
          <cell r="H237" t="str">
            <v>Desktop</v>
          </cell>
          <cell r="I237" t="str">
            <v>HUE-PLC-VMY</v>
          </cell>
          <cell r="J237" t="str">
            <v>Lắp ráp ĐNA</v>
          </cell>
          <cell r="K237">
            <v>11</v>
          </cell>
          <cell r="L237">
            <v>2020</v>
          </cell>
          <cell r="M237" t="str">
            <v>Chậm</v>
          </cell>
          <cell r="N237" t="str">
            <v>AMD A6-7400K</v>
          </cell>
          <cell r="O237" t="str">
            <v>4GB</v>
          </cell>
          <cell r="P237" t="str">
            <v>HDD 500GB</v>
          </cell>
          <cell r="Q237" t="str">
            <v>Microsoft Windows 10</v>
          </cell>
        </row>
        <row r="238">
          <cell r="A238">
            <v>537230</v>
          </cell>
          <cell r="B238">
            <v>5326</v>
          </cell>
          <cell r="C238" t="str">
            <v>Bưu điện xã Hưng Lộc</v>
          </cell>
          <cell r="D238" t="str">
            <v>Bưu điện KV Phú Lộc</v>
          </cell>
          <cell r="E238" t="str">
            <v>Bưu cục La Sơn</v>
          </cell>
          <cell r="F238" t="str">
            <v>Bưu cục giao dịch cấp 3</v>
          </cell>
          <cell r="H238" t="str">
            <v>Desktop</v>
          </cell>
          <cell r="I238" t="str">
            <v>HUE-PLC-LSN2</v>
          </cell>
          <cell r="J238" t="str">
            <v>POSBANK APEXA II</v>
          </cell>
          <cell r="K238">
            <v>12</v>
          </cell>
          <cell r="L238">
            <v>2021</v>
          </cell>
          <cell r="M238" t="str">
            <v>Đáp ứng</v>
          </cell>
          <cell r="N238" t="str">
            <v>Intel J1900 2.42GHz</v>
          </cell>
          <cell r="O238" t="str">
            <v>4GB</v>
          </cell>
          <cell r="P238" t="str">
            <v>SSD 120GB</v>
          </cell>
          <cell r="Q238" t="str">
            <v>Microsoft Windows 10</v>
          </cell>
        </row>
        <row r="239">
          <cell r="A239">
            <v>537240</v>
          </cell>
          <cell r="B239">
            <v>5326</v>
          </cell>
          <cell r="C239" t="str">
            <v>Bưu điện xã Hưng Lộc</v>
          </cell>
          <cell r="D239" t="str">
            <v>Bưu điện KV Phú Lộc</v>
          </cell>
          <cell r="E239" t="str">
            <v>VHX Lộc Bổn</v>
          </cell>
          <cell r="F239" t="str">
            <v>Bưu điện VHX</v>
          </cell>
          <cell r="H239" t="str">
            <v>Desktop</v>
          </cell>
          <cell r="J239" t="str">
            <v>Máy hỏng</v>
          </cell>
          <cell r="K239">
            <v>0</v>
          </cell>
          <cell r="Q239" t="str">
            <v/>
          </cell>
        </row>
        <row r="240">
          <cell r="A240">
            <v>537231</v>
          </cell>
          <cell r="B240">
            <v>5326</v>
          </cell>
          <cell r="C240" t="str">
            <v>Bưu điện xã Hưng Lộc</v>
          </cell>
          <cell r="D240" t="str">
            <v>Bưu điện KV Phú Lộc</v>
          </cell>
          <cell r="E240" t="str">
            <v>VHX Lộc Sơn</v>
          </cell>
          <cell r="F240" t="str">
            <v>Bưu điện VHX</v>
          </cell>
          <cell r="H240" t="str">
            <v>Desktop</v>
          </cell>
          <cell r="I240" t="str">
            <v>HUE-PLC-LOCSON</v>
          </cell>
          <cell r="J240" t="str">
            <v>Dell Optiplex 5060</v>
          </cell>
          <cell r="K240">
            <v>14</v>
          </cell>
          <cell r="L240">
            <v>2019</v>
          </cell>
          <cell r="M240" t="str">
            <v>Không đáp ứng cần nâng cấp</v>
          </cell>
          <cell r="N240" t="str">
            <v>Intel i3-8100 3.20GHz</v>
          </cell>
          <cell r="O240" t="str">
            <v>4GB</v>
          </cell>
          <cell r="P240" t="str">
            <v>HDD 500GB</v>
          </cell>
          <cell r="Q240" t="str">
            <v>Microsoft Windows 11</v>
          </cell>
        </row>
        <row r="241">
          <cell r="A241">
            <v>537290</v>
          </cell>
          <cell r="B241">
            <v>5326</v>
          </cell>
          <cell r="C241" t="str">
            <v>Bưu điện xã Hưng Lộc</v>
          </cell>
          <cell r="D241" t="str">
            <v>Bưu điện KV Phú Lộc</v>
          </cell>
          <cell r="E241" t="str">
            <v>VHX Xuân Lộc</v>
          </cell>
          <cell r="F241" t="str">
            <v>Bưu điện VHX</v>
          </cell>
          <cell r="H241" t="str">
            <v>Desktop</v>
          </cell>
          <cell r="J241" t="str">
            <v>Máy hỏng</v>
          </cell>
          <cell r="K241">
            <v>0</v>
          </cell>
          <cell r="Q241" t="str">
            <v/>
          </cell>
        </row>
        <row r="242">
          <cell r="A242">
            <v>537230</v>
          </cell>
          <cell r="B242">
            <v>5326</v>
          </cell>
          <cell r="C242" t="str">
            <v>Bưu điện xã Hưng Lộc</v>
          </cell>
          <cell r="D242" t="str">
            <v>Bưu điện KV Phú Lộc</v>
          </cell>
          <cell r="E242" t="str">
            <v>Bưu điện xã Hưng Lộc</v>
          </cell>
          <cell r="F242" t="str">
            <v>BĐ xã/phường</v>
          </cell>
          <cell r="H242" t="str">
            <v>Desktop</v>
          </cell>
          <cell r="I242" t="str">
            <v>HUE-HLC-GD</v>
          </cell>
          <cell r="M242" t="str">
            <v>Đáp ứng</v>
          </cell>
          <cell r="Q242" t="str">
            <v>Microsoft Windows 10</v>
          </cell>
        </row>
        <row r="243">
          <cell r="A243">
            <v>537201</v>
          </cell>
          <cell r="B243">
            <v>5326</v>
          </cell>
          <cell r="C243" t="str">
            <v>Bưu điện xã Hưng Lộc</v>
          </cell>
          <cell r="D243" t="str">
            <v>Bưu điện KV Phú Lộc</v>
          </cell>
          <cell r="E243" t="str">
            <v>Bưu điện xã Lộc An</v>
          </cell>
          <cell r="F243" t="str">
            <v>BĐ xã/phường</v>
          </cell>
        </row>
        <row r="244">
          <cell r="A244">
            <v>537201</v>
          </cell>
          <cell r="B244">
            <v>5327</v>
          </cell>
          <cell r="C244" t="str">
            <v>Bưu điện xã Lộc An</v>
          </cell>
          <cell r="D244" t="str">
            <v>Bưu điện KV Phú Lộc</v>
          </cell>
          <cell r="E244" t="str">
            <v>VHX Lộc An</v>
          </cell>
          <cell r="F244" t="str">
            <v>Bưu điện VHX</v>
          </cell>
          <cell r="H244" t="str">
            <v>Desktop</v>
          </cell>
          <cell r="I244" t="str">
            <v>HUE-PLC-LAN</v>
          </cell>
          <cell r="J244" t="str">
            <v>Lắp ráp ĐNA</v>
          </cell>
          <cell r="K244">
            <v>11</v>
          </cell>
          <cell r="L244">
            <v>2017</v>
          </cell>
          <cell r="M244" t="str">
            <v>Không đáp ứng cần nâng cấp</v>
          </cell>
          <cell r="N244" t="str">
            <v>Intel i3 4160T 3.1GHz</v>
          </cell>
          <cell r="O244" t="str">
            <v>4GB</v>
          </cell>
          <cell r="P244" t="str">
            <v>HDD 500GB</v>
          </cell>
          <cell r="Q244" t="str">
            <v>Microsoft Windows 10</v>
          </cell>
        </row>
        <row r="245">
          <cell r="A245">
            <v>537250</v>
          </cell>
          <cell r="B245">
            <v>5327</v>
          </cell>
          <cell r="C245" t="str">
            <v>Bưu điện xã Lộc An</v>
          </cell>
          <cell r="D245" t="str">
            <v>Bưu điện KV Phú Lộc</v>
          </cell>
          <cell r="E245" t="str">
            <v>VHX Lộc Điền</v>
          </cell>
          <cell r="F245" t="str">
            <v>Bưu điện VHX</v>
          </cell>
          <cell r="H245" t="str">
            <v>Desktop</v>
          </cell>
          <cell r="I245" t="str">
            <v>HUE-PLC-LDN</v>
          </cell>
          <cell r="J245" t="str">
            <v>Dell Optiplex 5060</v>
          </cell>
          <cell r="K245">
            <v>11</v>
          </cell>
          <cell r="L245">
            <v>2019</v>
          </cell>
          <cell r="M245" t="str">
            <v>Không đáp ứng cần nâng cấp</v>
          </cell>
          <cell r="N245" t="str">
            <v>Intel i3-8100 3.20GHz</v>
          </cell>
          <cell r="O245" t="str">
            <v>4GB</v>
          </cell>
          <cell r="P245" t="str">
            <v>HDD 500GB</v>
          </cell>
          <cell r="Q245" t="str">
            <v>Microsoft Windows 11</v>
          </cell>
        </row>
        <row r="246">
          <cell r="A246">
            <v>537270</v>
          </cell>
          <cell r="B246">
            <v>5327</v>
          </cell>
          <cell r="C246" t="str">
            <v>Bưu điện xã Lộc An</v>
          </cell>
          <cell r="D246" t="str">
            <v>Bưu điện KV Phú Lộc</v>
          </cell>
          <cell r="E246" t="str">
            <v>VHX Lộc Hòa</v>
          </cell>
          <cell r="F246" t="str">
            <v>Bưu điện VHX</v>
          </cell>
          <cell r="H246" t="str">
            <v>Desktop</v>
          </cell>
          <cell r="J246" t="str">
            <v>Máy hỏng</v>
          </cell>
          <cell r="K246">
            <v>0</v>
          </cell>
          <cell r="Q246" t="str">
            <v/>
          </cell>
        </row>
        <row r="247">
          <cell r="A247">
            <v>537423</v>
          </cell>
          <cell r="B247">
            <v>5328</v>
          </cell>
          <cell r="C247" t="str">
            <v>Bưu điện xã Phú Lộc</v>
          </cell>
          <cell r="D247" t="str">
            <v>Bưu điện KV Phú Lộc</v>
          </cell>
          <cell r="E247" t="str">
            <v>Bưu cục VP BĐ huyện Phú Lộc</v>
          </cell>
          <cell r="F247" t="str">
            <v>Văn phòng</v>
          </cell>
          <cell r="G247" t="str">
            <v>HOÀNG THỊ HỒNG VÂN</v>
          </cell>
          <cell r="H247" t="str">
            <v>Desktop</v>
          </cell>
          <cell r="I247" t="str">
            <v>HUE-PLC-TAMNCT</v>
          </cell>
          <cell r="J247" t="str">
            <v>Lắp ráp ĐNA</v>
          </cell>
          <cell r="K247">
            <v>14</v>
          </cell>
          <cell r="L247">
            <v>2019</v>
          </cell>
          <cell r="M247" t="str">
            <v>Chậm</v>
          </cell>
          <cell r="N247" t="str">
            <v>Intel G2030 3.0GHz</v>
          </cell>
          <cell r="O247" t="str">
            <v>6GB</v>
          </cell>
          <cell r="P247" t="str">
            <v>HDD 500GB</v>
          </cell>
          <cell r="Q247" t="str">
            <v>Microsoft Windows 10</v>
          </cell>
        </row>
        <row r="248">
          <cell r="A248">
            <v>537100</v>
          </cell>
          <cell r="B248">
            <v>5328</v>
          </cell>
          <cell r="C248" t="str">
            <v>Bưu điện xã Phú Lộc</v>
          </cell>
          <cell r="D248" t="str">
            <v>Bưu điện KV Phú Lộc</v>
          </cell>
          <cell r="E248" t="str">
            <v>Bưu cục Phú Lộc</v>
          </cell>
          <cell r="F248" t="str">
            <v>Bưu cục giao dịch cấp 2</v>
          </cell>
          <cell r="G248" t="str">
            <v>LPBANK</v>
          </cell>
          <cell r="H248" t="str">
            <v>Desktop</v>
          </cell>
          <cell r="I248" t="str">
            <v>đã hỏng 17/11/25</v>
          </cell>
          <cell r="J248" t="str">
            <v>Lắp ráp ĐNA</v>
          </cell>
          <cell r="K248">
            <v>16</v>
          </cell>
          <cell r="L248">
            <v>2017</v>
          </cell>
          <cell r="M248" t="str">
            <v>Không đáp ứng cần nâng cấp</v>
          </cell>
          <cell r="N248" t="str">
            <v>Intel i3 4160T 3.1GHz</v>
          </cell>
          <cell r="O248" t="str">
            <v>4GB</v>
          </cell>
          <cell r="P248" t="str">
            <v>HDD 500GB</v>
          </cell>
          <cell r="Q248" t="str">
            <v/>
          </cell>
        </row>
        <row r="249">
          <cell r="A249">
            <v>537423</v>
          </cell>
          <cell r="B249">
            <v>5328</v>
          </cell>
          <cell r="C249" t="str">
            <v>Bưu điện xã Phú Lộc</v>
          </cell>
          <cell r="D249" t="str">
            <v>Bưu điện KV Phú Lộc</v>
          </cell>
          <cell r="E249" t="str">
            <v>Bưu cục VP BĐ huyện Phú Lộc</v>
          </cell>
          <cell r="F249" t="str">
            <v>Văn phòng</v>
          </cell>
          <cell r="G249" t="str">
            <v>NGUYỄN THỊ DUNG</v>
          </cell>
          <cell r="H249" t="str">
            <v>Desktop</v>
          </cell>
          <cell r="I249" t="str">
            <v>HUE-PLC-ANHTTT</v>
          </cell>
          <cell r="J249" t="str">
            <v>Lắp ráp ĐNA</v>
          </cell>
          <cell r="K249">
            <v>14</v>
          </cell>
          <cell r="L249">
            <v>2019</v>
          </cell>
          <cell r="M249" t="str">
            <v>Đáp ứng</v>
          </cell>
          <cell r="N249" t="str">
            <v>Intel i3 4160T 3.1GHz</v>
          </cell>
          <cell r="O249" t="str">
            <v>4GB</v>
          </cell>
          <cell r="P249" t="str">
            <v>SSD 120GB</v>
          </cell>
          <cell r="Q249" t="str">
            <v>Microsoft Windows 10</v>
          </cell>
        </row>
        <row r="250">
          <cell r="A250">
            <v>537100</v>
          </cell>
          <cell r="B250">
            <v>5328</v>
          </cell>
          <cell r="C250" t="str">
            <v>Bưu điện xã Phú Lộc</v>
          </cell>
          <cell r="D250" t="str">
            <v>Bưu điện KV Phú Lộc</v>
          </cell>
          <cell r="E250" t="str">
            <v>Bưu cục Phú Lộc</v>
          </cell>
          <cell r="F250" t="str">
            <v>Bưu cục giao dịch cấp 2</v>
          </cell>
          <cell r="G250" t="str">
            <v>NGUYỄN THỊ THÙY LOAN</v>
          </cell>
          <cell r="H250" t="str">
            <v>Desktop</v>
          </cell>
          <cell r="I250" t="str">
            <v>HUE-PLC-LOANNTT</v>
          </cell>
          <cell r="J250" t="str">
            <v>HP Prodesk 600 G1</v>
          </cell>
          <cell r="K250">
            <v>15</v>
          </cell>
          <cell r="L250">
            <v>2019</v>
          </cell>
          <cell r="M250" t="str">
            <v>Không đáp ứng cần nâng cấp</v>
          </cell>
          <cell r="N250" t="str">
            <v>Intel i3 4150 3.50GHz</v>
          </cell>
          <cell r="O250" t="str">
            <v>4GB</v>
          </cell>
          <cell r="P250" t="str">
            <v>HDD 500GB</v>
          </cell>
          <cell r="Q250" t="str">
            <v>Microsoft Windows 10</v>
          </cell>
        </row>
        <row r="251">
          <cell r="A251">
            <v>536460</v>
          </cell>
          <cell r="B251">
            <v>5328</v>
          </cell>
          <cell r="C251" t="str">
            <v>Bưu điện xã Phú Lộc</v>
          </cell>
          <cell r="D251" t="str">
            <v>Trung tâm Vận hành</v>
          </cell>
          <cell r="E251" t="str">
            <v>BCP Nam Đông</v>
          </cell>
          <cell r="F251" t="str">
            <v>Bưu cục phát</v>
          </cell>
          <cell r="H251" t="str">
            <v>Desktop</v>
          </cell>
          <cell r="K251">
            <v>0</v>
          </cell>
          <cell r="Q251" t="str">
            <v/>
          </cell>
        </row>
        <row r="252">
          <cell r="A252">
            <v>537100</v>
          </cell>
          <cell r="B252">
            <v>5328</v>
          </cell>
          <cell r="C252" t="str">
            <v>Bưu điện xã Phú Lộc</v>
          </cell>
          <cell r="D252" t="str">
            <v>Bưu điện KV Phú Lộc</v>
          </cell>
          <cell r="E252" t="str">
            <v>Bưu cục Phú Lộc</v>
          </cell>
          <cell r="F252" t="str">
            <v>Bưu cục giao dịch cấp 2</v>
          </cell>
          <cell r="H252" t="str">
            <v>Desktop</v>
          </cell>
          <cell r="I252" t="str">
            <v>HUE-PLC-GDTT02</v>
          </cell>
          <cell r="J252" t="str">
            <v>POSBANK APEXA II</v>
          </cell>
          <cell r="K252">
            <v>14</v>
          </cell>
          <cell r="L252">
            <v>2021</v>
          </cell>
          <cell r="M252" t="str">
            <v>Đáp ứng</v>
          </cell>
          <cell r="N252" t="str">
            <v>Intel J1900 2.42GHz</v>
          </cell>
          <cell r="O252" t="str">
            <v>4GB</v>
          </cell>
          <cell r="P252" t="str">
            <v>SSD 120GB</v>
          </cell>
          <cell r="Q252" t="str">
            <v>Microsoft Windows 10</v>
          </cell>
        </row>
        <row r="253">
          <cell r="A253">
            <v>537100</v>
          </cell>
          <cell r="B253">
            <v>5328</v>
          </cell>
          <cell r="C253" t="str">
            <v>Bưu điện xã Phú Lộc</v>
          </cell>
          <cell r="D253" t="str">
            <v>Bưu điện KV Phú Lộc</v>
          </cell>
          <cell r="E253" t="str">
            <v>Bưu cục Phú Lộc</v>
          </cell>
          <cell r="F253" t="str">
            <v>Bưu cục giao dịch cấp 2</v>
          </cell>
          <cell r="H253" t="str">
            <v>Desktop</v>
          </cell>
          <cell r="I253" t="str">
            <v>HUE-PLC-GDTT01</v>
          </cell>
          <cell r="J253" t="str">
            <v>Dell Optiplex 3020M</v>
          </cell>
          <cell r="K253">
            <v>11</v>
          </cell>
          <cell r="L253">
            <v>2018</v>
          </cell>
          <cell r="M253" t="str">
            <v>Đáp ứng</v>
          </cell>
          <cell r="N253" t="str">
            <v>Intel i3-4150T 3.0GHz</v>
          </cell>
          <cell r="O253" t="str">
            <v>4GB</v>
          </cell>
          <cell r="P253" t="str">
            <v>HDD 500GB</v>
          </cell>
          <cell r="Q253" t="str">
            <v>Microsoft Windows 7</v>
          </cell>
        </row>
        <row r="254">
          <cell r="A254">
            <v>537120</v>
          </cell>
          <cell r="B254">
            <v>5328</v>
          </cell>
          <cell r="C254" t="str">
            <v>Bưu điện xã Phú Lộc</v>
          </cell>
          <cell r="D254" t="str">
            <v>Bưu điện KV Phú Lộc</v>
          </cell>
          <cell r="E254" t="str">
            <v>VHX Lộc Bình</v>
          </cell>
          <cell r="F254" t="str">
            <v>Bưu điện VHX</v>
          </cell>
          <cell r="H254" t="str">
            <v>Desktop</v>
          </cell>
          <cell r="I254" t="str">
            <v>HUE-PLC-LBH</v>
          </cell>
          <cell r="J254" t="str">
            <v>HP Prodesk 600 G5</v>
          </cell>
          <cell r="K254">
            <v>11</v>
          </cell>
          <cell r="L254">
            <v>2020</v>
          </cell>
          <cell r="M254" t="str">
            <v>Nhanh</v>
          </cell>
          <cell r="N254" t="str">
            <v>Intel i3 9100T 3.1GHz</v>
          </cell>
          <cell r="O254" t="str">
            <v>4GB</v>
          </cell>
          <cell r="P254" t="str">
            <v>HDD 500GB</v>
          </cell>
          <cell r="Q254" t="str">
            <v>Microsoft Windows 10</v>
          </cell>
        </row>
        <row r="255">
          <cell r="A255">
            <v>537310</v>
          </cell>
          <cell r="B255">
            <v>5328</v>
          </cell>
          <cell r="C255" t="str">
            <v>Bưu điện xã Phú Lộc</v>
          </cell>
          <cell r="D255" t="str">
            <v>Bưu điện KV Phú Lộc</v>
          </cell>
          <cell r="E255" t="str">
            <v>VHX Lộc Trì</v>
          </cell>
          <cell r="F255" t="str">
            <v>Bưu điện VHX</v>
          </cell>
          <cell r="H255" t="str">
            <v>Desktop</v>
          </cell>
          <cell r="I255" t="str">
            <v>HUE-PLC-LTI</v>
          </cell>
          <cell r="J255" t="str">
            <v>Lắp ráp ĐNA</v>
          </cell>
          <cell r="K255">
            <v>11</v>
          </cell>
          <cell r="L255">
            <v>2020</v>
          </cell>
          <cell r="M255" t="str">
            <v>Đáp ứng</v>
          </cell>
          <cell r="N255" t="str">
            <v>AMD A6-7400K</v>
          </cell>
          <cell r="O255" t="str">
            <v>8GB</v>
          </cell>
          <cell r="P255" t="str">
            <v>HDD 500GB</v>
          </cell>
          <cell r="Q255" t="str">
            <v>Microsoft Windows 10</v>
          </cell>
        </row>
        <row r="256">
          <cell r="A256">
            <v>537423</v>
          </cell>
          <cell r="B256">
            <v>5328</v>
          </cell>
          <cell r="C256" t="str">
            <v>Bưu điện xã Phú Lộc</v>
          </cell>
          <cell r="D256" t="str">
            <v>Bưu điện KV Phú Lộc</v>
          </cell>
          <cell r="E256" t="str">
            <v>Bưu cục VP BĐ huyện Phú Lộc</v>
          </cell>
          <cell r="F256" t="str">
            <v>Văn phòng</v>
          </cell>
          <cell r="H256" t="str">
            <v>Desktop</v>
          </cell>
          <cell r="I256" t="str">
            <v>HUE-PLC-VINHNV</v>
          </cell>
          <cell r="J256" t="str">
            <v>Lắp ráp ĐNA</v>
          </cell>
          <cell r="K256">
            <v>14</v>
          </cell>
          <cell r="L256">
            <v>2019</v>
          </cell>
          <cell r="M256" t="str">
            <v>Đáp ứng</v>
          </cell>
          <cell r="N256" t="str">
            <v>Intel G3240 3.1GHz</v>
          </cell>
          <cell r="O256" t="str">
            <v>4GB</v>
          </cell>
          <cell r="P256" t="str">
            <v>SSD 120GB</v>
          </cell>
          <cell r="Q256" t="str">
            <v>Microsoft Windows 11</v>
          </cell>
        </row>
        <row r="257">
          <cell r="A257">
            <v>537130</v>
          </cell>
          <cell r="B257">
            <v>5329</v>
          </cell>
          <cell r="C257" t="str">
            <v>Bưu điện xã Chân Mây - Lăng Cô</v>
          </cell>
          <cell r="D257" t="str">
            <v>Bưu điện KV Phú Lộc</v>
          </cell>
          <cell r="E257" t="str">
            <v>Bưu cục Lộc Vĩnh</v>
          </cell>
          <cell r="F257" t="str">
            <v>Bưu cục giao dịch cấp 3</v>
          </cell>
          <cell r="H257" t="str">
            <v>Desktop</v>
          </cell>
          <cell r="I257" t="str">
            <v>HUE-PLC-LVH</v>
          </cell>
          <cell r="J257" t="str">
            <v>Lắp ráp ĐNA</v>
          </cell>
          <cell r="K257">
            <v>11</v>
          </cell>
          <cell r="L257">
            <v>2019</v>
          </cell>
          <cell r="M257" t="str">
            <v>Chậm</v>
          </cell>
          <cell r="N257" t="str">
            <v>Intel i3 6100 3.7GHz</v>
          </cell>
          <cell r="O257" t="str">
            <v>4GB</v>
          </cell>
          <cell r="P257" t="str">
            <v>HDD 500GB</v>
          </cell>
          <cell r="Q257" t="str">
            <v>Microsoft Windows 10</v>
          </cell>
        </row>
        <row r="258">
          <cell r="A258">
            <v>537340</v>
          </cell>
          <cell r="B258">
            <v>5329</v>
          </cell>
          <cell r="C258" t="str">
            <v>Bưu điện xã Chân Mây - Lăng Cô</v>
          </cell>
          <cell r="D258" t="str">
            <v>Bưu điện KV Phú Lộc</v>
          </cell>
          <cell r="E258" t="str">
            <v>Bưu cục Thừa Lưu</v>
          </cell>
          <cell r="F258" t="str">
            <v>Bưu cục giao dịch cấp 3</v>
          </cell>
          <cell r="H258" t="str">
            <v>Desktop</v>
          </cell>
          <cell r="I258" t="str">
            <v>HUE-PLC-TLU</v>
          </cell>
          <cell r="J258" t="str">
            <v>Dell Optiplex 5060</v>
          </cell>
          <cell r="K258">
            <v>11</v>
          </cell>
          <cell r="L258">
            <v>2019</v>
          </cell>
          <cell r="M258" t="str">
            <v>Không đáp ứng cần nâng cấp</v>
          </cell>
          <cell r="N258" t="str">
            <v>Intel i3-8100 3.20GHz</v>
          </cell>
          <cell r="O258" t="str">
            <v>4GB</v>
          </cell>
          <cell r="P258" t="str">
            <v>SSD 250GB</v>
          </cell>
          <cell r="Q258" t="str">
            <v>Microsoft Windows 10</v>
          </cell>
        </row>
        <row r="259">
          <cell r="A259">
            <v>537340</v>
          </cell>
          <cell r="B259">
            <v>5329</v>
          </cell>
          <cell r="C259" t="str">
            <v>Bưu điện xã Chân Mây - Lăng Cô</v>
          </cell>
          <cell r="D259" t="str">
            <v>Bưu điện KV Phú Lộc</v>
          </cell>
          <cell r="E259" t="str">
            <v>Bưu cục Thừa Lưu</v>
          </cell>
          <cell r="F259" t="str">
            <v>Bưu cục giao dịch cấp 3</v>
          </cell>
          <cell r="H259" t="str">
            <v>Desktop</v>
          </cell>
          <cell r="I259" t="str">
            <v>HUE-PLC-TLU1</v>
          </cell>
          <cell r="J259" t="str">
            <v>HP Prodesk 600 G1</v>
          </cell>
          <cell r="K259">
            <v>12</v>
          </cell>
          <cell r="L259">
            <v>2019</v>
          </cell>
          <cell r="M259" t="str">
            <v>Chậm</v>
          </cell>
          <cell r="N259" t="str">
            <v>Intel i3 4150 3.50GHz</v>
          </cell>
          <cell r="O259" t="str">
            <v>2GB</v>
          </cell>
          <cell r="P259" t="str">
            <v>HDD 500GB</v>
          </cell>
          <cell r="Q259" t="str">
            <v>Microsoft Windows 10</v>
          </cell>
        </row>
        <row r="260">
          <cell r="A260">
            <v>537330</v>
          </cell>
          <cell r="B260">
            <v>5329</v>
          </cell>
          <cell r="C260" t="str">
            <v>Bưu điện xã Chân Mây - Lăng Cô</v>
          </cell>
          <cell r="D260" t="str">
            <v>Bưu điện KV Phú Lộc</v>
          </cell>
          <cell r="E260" t="str">
            <v>VHX Lộc Thủy</v>
          </cell>
          <cell r="F260" t="str">
            <v>Bưu điện VHX</v>
          </cell>
          <cell r="H260" t="str">
            <v>Desktop</v>
          </cell>
          <cell r="I260" t="str">
            <v>HUE-PLC-LTY</v>
          </cell>
          <cell r="J260" t="str">
            <v>Lắp ráp ĐNA</v>
          </cell>
          <cell r="K260">
            <v>11</v>
          </cell>
          <cell r="L260">
            <v>2020</v>
          </cell>
          <cell r="M260" t="str">
            <v>Không đáp ứng cần nâng cấp</v>
          </cell>
          <cell r="N260" t="str">
            <v>i3 4150T</v>
          </cell>
          <cell r="O260" t="str">
            <v>4GB</v>
          </cell>
          <cell r="P260" t="str">
            <v>HDD 500GB</v>
          </cell>
          <cell r="Q260" t="str">
            <v>Microsoft Windows 7</v>
          </cell>
        </row>
        <row r="261">
          <cell r="A261">
            <v>537360</v>
          </cell>
          <cell r="B261">
            <v>5329</v>
          </cell>
          <cell r="C261" t="str">
            <v>Bưu điện xã Chân Mây - Lăng Cô</v>
          </cell>
          <cell r="D261" t="str">
            <v>Bưu điện KV Phú Lộc</v>
          </cell>
          <cell r="E261" t="str">
            <v>Bưu cục Lăng Cô</v>
          </cell>
          <cell r="F261" t="str">
            <v>Bưu cục giao dịch cấp 3</v>
          </cell>
          <cell r="H261" t="str">
            <v>Desktop</v>
          </cell>
          <cell r="I261" t="str">
            <v>HUE-PLC-LCO</v>
          </cell>
          <cell r="J261" t="str">
            <v>Dell Optiplex 5060</v>
          </cell>
          <cell r="K261">
            <v>11</v>
          </cell>
          <cell r="L261">
            <v>2019</v>
          </cell>
          <cell r="M261" t="str">
            <v>Không đáp ứng cần nâng cấp</v>
          </cell>
          <cell r="N261" t="str">
            <v>Intel i3-8100 3.20GHz</v>
          </cell>
          <cell r="O261" t="str">
            <v>4GB</v>
          </cell>
          <cell r="P261" t="str">
            <v>HDD 500GB</v>
          </cell>
          <cell r="Q261" t="str">
            <v/>
          </cell>
        </row>
        <row r="262">
          <cell r="A262">
            <v>536408</v>
          </cell>
          <cell r="B262">
            <v>5331</v>
          </cell>
          <cell r="C262" t="str">
            <v>Bưu điện xã Nam Đông</v>
          </cell>
          <cell r="D262" t="str">
            <v>Bưu điện KV Phú Lộc</v>
          </cell>
          <cell r="E262" t="str">
            <v>Bưu cục VP BĐ huyện Nam Đông</v>
          </cell>
          <cell r="F262" t="str">
            <v>Văn phòng</v>
          </cell>
          <cell r="G262" t="str">
            <v>CQ Thuế</v>
          </cell>
          <cell r="H262" t="str">
            <v>Desktop</v>
          </cell>
          <cell r="I262" t="str">
            <v>HUE-NDG-CQTHUE_BH</v>
          </cell>
          <cell r="J262" t="str">
            <v>Lắp ráp ĐNA</v>
          </cell>
          <cell r="K262">
            <v>17</v>
          </cell>
          <cell r="L262">
            <v>2019</v>
          </cell>
          <cell r="M262" t="str">
            <v>Chậm</v>
          </cell>
          <cell r="N262" t="str">
            <v>AMD A6 7400k</v>
          </cell>
          <cell r="O262" t="str">
            <v>4GB</v>
          </cell>
          <cell r="P262" t="str">
            <v>HDD 500GB</v>
          </cell>
          <cell r="Q262" t="str">
            <v>Microsoft Windows 10</v>
          </cell>
        </row>
        <row r="263">
          <cell r="A263">
            <v>536408</v>
          </cell>
          <cell r="B263">
            <v>5331</v>
          </cell>
          <cell r="C263" t="str">
            <v>Bưu điện xã Nam Đông</v>
          </cell>
          <cell r="D263" t="str">
            <v>Bưu điện KV Phú Lộc</v>
          </cell>
          <cell r="E263" t="str">
            <v>Bưu cục VP BĐ huyện Nam Đông</v>
          </cell>
          <cell r="F263" t="str">
            <v>Văn phòng</v>
          </cell>
          <cell r="G263" t="str">
            <v>GĐ</v>
          </cell>
          <cell r="H263" t="str">
            <v>Desktop</v>
          </cell>
          <cell r="I263" t="str">
            <v>HUE-NDG-DOLQ</v>
          </cell>
          <cell r="J263" t="str">
            <v>laptop</v>
          </cell>
          <cell r="K263">
            <v>12</v>
          </cell>
          <cell r="L263">
            <v>2019</v>
          </cell>
          <cell r="O263" t="str">
            <v>8GB</v>
          </cell>
          <cell r="P263" t="str">
            <v>SSD250</v>
          </cell>
          <cell r="Q263" t="str">
            <v>Microsoft Windows 10</v>
          </cell>
        </row>
        <row r="264">
          <cell r="A264">
            <v>536408</v>
          </cell>
          <cell r="B264">
            <v>5331</v>
          </cell>
          <cell r="C264" t="str">
            <v>Bưu điện xã Nam Đông</v>
          </cell>
          <cell r="D264" t="str">
            <v>Bưu điện KV Phú Lộc</v>
          </cell>
          <cell r="E264" t="str">
            <v>Bưu cục VP BĐ huyện Nam Đông</v>
          </cell>
          <cell r="F264" t="str">
            <v>Văn phòng</v>
          </cell>
          <cell r="G264" t="str">
            <v>Kế toán</v>
          </cell>
          <cell r="H264" t="str">
            <v>Desktop</v>
          </cell>
          <cell r="I264" t="str">
            <v>HUE-NDG-KT</v>
          </cell>
          <cell r="J264" t="str">
            <v>HP Prodesk 600 G5</v>
          </cell>
          <cell r="K264">
            <v>10</v>
          </cell>
          <cell r="L264">
            <v>2020</v>
          </cell>
          <cell r="M264" t="str">
            <v>Nhanh</v>
          </cell>
          <cell r="N264" t="str">
            <v>Intel i3 9100T 3.1GHz</v>
          </cell>
          <cell r="O264" t="str">
            <v>4GB</v>
          </cell>
          <cell r="P264" t="str">
            <v>HDD 500GB</v>
          </cell>
          <cell r="Q264" t="str">
            <v>Microsoft Windows 10</v>
          </cell>
        </row>
        <row r="265">
          <cell r="A265">
            <v>536408</v>
          </cell>
          <cell r="B265">
            <v>5331</v>
          </cell>
          <cell r="C265" t="str">
            <v>Bưu điện xã Nam Đông</v>
          </cell>
          <cell r="D265" t="str">
            <v>Bưu điện KV Phú Lộc</v>
          </cell>
          <cell r="E265" t="str">
            <v>Bưu cục VP BĐ huyện Nam Đông</v>
          </cell>
          <cell r="F265" t="str">
            <v>Văn phòng</v>
          </cell>
          <cell r="G265" t="str">
            <v>Thủ quỹ</v>
          </cell>
          <cell r="H265" t="str">
            <v>Desktop</v>
          </cell>
          <cell r="I265" t="str">
            <v>HUE-NDG-PHUCNT</v>
          </cell>
          <cell r="J265" t="str">
            <v>Lắp ráp ĐNA</v>
          </cell>
          <cell r="K265">
            <v>14</v>
          </cell>
          <cell r="L265">
            <v>2019</v>
          </cell>
          <cell r="M265" t="str">
            <v>Chậm</v>
          </cell>
          <cell r="N265" t="str">
            <v>AMD A6 7400k</v>
          </cell>
          <cell r="O265" t="str">
            <v>4GB</v>
          </cell>
          <cell r="P265" t="str">
            <v>HDD 500GB</v>
          </cell>
          <cell r="Q265" t="str">
            <v>Microsoft Windows 10</v>
          </cell>
        </row>
        <row r="266">
          <cell r="A266">
            <v>536470</v>
          </cell>
          <cell r="B266">
            <v>5331</v>
          </cell>
          <cell r="C266" t="str">
            <v>Bưu điện xã Nam Đông</v>
          </cell>
          <cell r="D266" t="str">
            <v>Bưu điện KV Phú Lộc</v>
          </cell>
          <cell r="E266" t="str">
            <v>VHX Hương Giang</v>
          </cell>
          <cell r="F266" t="str">
            <v>Bưu điện VHX</v>
          </cell>
          <cell r="H266" t="str">
            <v>Desktop</v>
          </cell>
          <cell r="I266" t="str">
            <v>HUE-NDG-HGG</v>
          </cell>
          <cell r="J266" t="str">
            <v>Dell Optiplex 3040</v>
          </cell>
          <cell r="K266">
            <v>11</v>
          </cell>
          <cell r="L266">
            <v>2018</v>
          </cell>
          <cell r="M266" t="str">
            <v>Không đáp ứng cần nâng cấp</v>
          </cell>
          <cell r="N266" t="str">
            <v>Intel i3-6100 3.20GHz</v>
          </cell>
          <cell r="O266" t="str">
            <v>4GB</v>
          </cell>
          <cell r="P266" t="str">
            <v>HDD 500GB</v>
          </cell>
          <cell r="Q266" t="str">
            <v>Microsoft Windows 10</v>
          </cell>
        </row>
        <row r="267">
          <cell r="A267">
            <v>536480</v>
          </cell>
          <cell r="B267">
            <v>5331</v>
          </cell>
          <cell r="C267" t="str">
            <v>Bưu điện xã Nam Đông</v>
          </cell>
          <cell r="D267" t="str">
            <v>Bưu điện KV Phú Lộc</v>
          </cell>
          <cell r="E267" t="str">
            <v>VHX Hương Hữu</v>
          </cell>
          <cell r="F267" t="str">
            <v>Bưu điện VHX</v>
          </cell>
          <cell r="H267" t="str">
            <v>Desktop</v>
          </cell>
          <cell r="I267" t="str">
            <v>HUE-NDG-HHU</v>
          </cell>
          <cell r="J267" t="str">
            <v>Lắp ráp ĐNA</v>
          </cell>
          <cell r="K267">
            <v>11</v>
          </cell>
          <cell r="L267">
            <v>2018</v>
          </cell>
          <cell r="M267" t="str">
            <v>Không đáp ứng cần nâng cấp</v>
          </cell>
          <cell r="N267" t="str">
            <v>Intel E5700 3.0GHz</v>
          </cell>
          <cell r="O267" t="str">
            <v>4GB</v>
          </cell>
          <cell r="P267" t="str">
            <v>HDD 500GB</v>
          </cell>
          <cell r="Q267" t="str">
            <v>Microsoft Windows 10</v>
          </cell>
        </row>
        <row r="268">
          <cell r="A268">
            <v>536450</v>
          </cell>
          <cell r="B268">
            <v>5331</v>
          </cell>
          <cell r="C268" t="str">
            <v>Bưu điện xã Nam Đông</v>
          </cell>
          <cell r="D268" t="str">
            <v>Bưu điện KV Phú Lộc</v>
          </cell>
          <cell r="E268" t="str">
            <v>VHX Hương Sơn</v>
          </cell>
          <cell r="F268" t="str">
            <v>Bưu điện VHX</v>
          </cell>
          <cell r="H268" t="str">
            <v>Desktop</v>
          </cell>
          <cell r="I268" t="str">
            <v>HUE-NDG-HSN</v>
          </cell>
          <cell r="J268" t="str">
            <v>Dell Optiplex 3040</v>
          </cell>
          <cell r="K268">
            <v>11</v>
          </cell>
          <cell r="L268">
            <v>2018</v>
          </cell>
          <cell r="M268" t="str">
            <v>Không đáp ứng cần nâng cấp</v>
          </cell>
          <cell r="N268" t="str">
            <v>Intel i3-6100 3.20GHz</v>
          </cell>
          <cell r="O268" t="str">
            <v>4GB</v>
          </cell>
          <cell r="P268" t="str">
            <v>HDD 500GB</v>
          </cell>
          <cell r="Q268" t="str">
            <v>Microsoft Windows 10</v>
          </cell>
        </row>
        <row r="269">
          <cell r="A269">
            <v>536520</v>
          </cell>
          <cell r="B269">
            <v>5331</v>
          </cell>
          <cell r="C269" t="str">
            <v>Bưu điện xã Nam Đông</v>
          </cell>
          <cell r="D269" t="str">
            <v>Bưu điện KV Phú Lộc</v>
          </cell>
          <cell r="E269" t="str">
            <v>VHX Thượng Long</v>
          </cell>
          <cell r="F269" t="str">
            <v>Bưu điện VHX</v>
          </cell>
          <cell r="H269" t="str">
            <v>Desktop</v>
          </cell>
          <cell r="I269" t="str">
            <v>HUE-NDG-TLG</v>
          </cell>
          <cell r="J269" t="str">
            <v>HP Prodesk 600 G5</v>
          </cell>
          <cell r="K269">
            <v>11</v>
          </cell>
          <cell r="L269">
            <v>2020</v>
          </cell>
          <cell r="M269" t="str">
            <v>Nhanh</v>
          </cell>
          <cell r="N269" t="str">
            <v>Intel i3 9100T 3.1GHz</v>
          </cell>
          <cell r="O269" t="str">
            <v>4GB</v>
          </cell>
          <cell r="P269" t="str">
            <v>HDD 500GB</v>
          </cell>
          <cell r="Q269" t="str">
            <v>Microsoft Windows 10</v>
          </cell>
        </row>
        <row r="270">
          <cell r="A270">
            <v>536540</v>
          </cell>
          <cell r="B270">
            <v>5331</v>
          </cell>
          <cell r="C270" t="str">
            <v>Bưu điện xã Nam Đông</v>
          </cell>
          <cell r="D270" t="str">
            <v>Bưu điện KV Phú Lộc</v>
          </cell>
          <cell r="E270" t="str">
            <v>VHX Thượng Nhật</v>
          </cell>
          <cell r="F270" t="str">
            <v>Bưu điện VHX</v>
          </cell>
          <cell r="H270" t="str">
            <v>Desktop</v>
          </cell>
          <cell r="I270" t="str">
            <v>HUE-VHX-TNT</v>
          </cell>
          <cell r="J270" t="str">
            <v>HP Prodesk 600 G5</v>
          </cell>
          <cell r="K270">
            <v>11</v>
          </cell>
          <cell r="L270">
            <v>2020</v>
          </cell>
          <cell r="M270" t="str">
            <v>Đáp ứng</v>
          </cell>
          <cell r="N270" t="str">
            <v>Intel i3 9100T 3.1GHz</v>
          </cell>
          <cell r="O270" t="str">
            <v>4GB</v>
          </cell>
          <cell r="P270" t="str">
            <v>SSD 120GB</v>
          </cell>
          <cell r="Q270" t="str">
            <v>Microsoft Windows 10</v>
          </cell>
        </row>
        <row r="271">
          <cell r="A271">
            <v>536500</v>
          </cell>
          <cell r="B271">
            <v>5331</v>
          </cell>
          <cell r="C271" t="str">
            <v>Bưu điện xã Nam Đông</v>
          </cell>
          <cell r="D271" t="str">
            <v>Bưu điện KV Phú Lộc</v>
          </cell>
          <cell r="E271" t="str">
            <v>VHX Thượng Quảng</v>
          </cell>
          <cell r="F271" t="str">
            <v>Bưu điện VHX</v>
          </cell>
          <cell r="H271" t="str">
            <v>Desktop</v>
          </cell>
          <cell r="I271" t="str">
            <v>HUE-NDG-TQG</v>
          </cell>
          <cell r="J271" t="str">
            <v>HP Prodesk 600 G5</v>
          </cell>
          <cell r="K271">
            <v>11</v>
          </cell>
          <cell r="L271">
            <v>2020</v>
          </cell>
          <cell r="M271" t="str">
            <v>Nhanh</v>
          </cell>
          <cell r="N271" t="str">
            <v>Intel i3 9100T 3.1GHz</v>
          </cell>
          <cell r="O271" t="str">
            <v>4GB</v>
          </cell>
          <cell r="P271" t="str">
            <v>HDD 500GB</v>
          </cell>
          <cell r="Q271" t="str">
            <v>Microsoft Windows 10</v>
          </cell>
        </row>
        <row r="272">
          <cell r="A272">
            <v>536400</v>
          </cell>
          <cell r="B272">
            <v>5332</v>
          </cell>
          <cell r="C272" t="str">
            <v>Bưu điện xã Khe Tre</v>
          </cell>
          <cell r="D272" t="str">
            <v>Bưu điện KV Phú Lộc</v>
          </cell>
          <cell r="E272" t="str">
            <v>Bưu cục Nam Đông</v>
          </cell>
          <cell r="F272" t="str">
            <v>Bưu cục giao dịch cấp 2</v>
          </cell>
          <cell r="G272" t="str">
            <v>Hằng</v>
          </cell>
          <cell r="H272" t="str">
            <v>Desktop</v>
          </cell>
          <cell r="I272" t="str">
            <v>HUE-NDG-KSV</v>
          </cell>
          <cell r="J272" t="str">
            <v>Dell Optiplex 5060</v>
          </cell>
          <cell r="K272">
            <v>11</v>
          </cell>
          <cell r="L272">
            <v>2019</v>
          </cell>
          <cell r="M272" t="str">
            <v>Không đáp ứng cần nâng cấp</v>
          </cell>
          <cell r="N272" t="str">
            <v>Intel i3-8100 3.20GHz</v>
          </cell>
          <cell r="O272" t="str">
            <v>4GB</v>
          </cell>
          <cell r="P272" t="str">
            <v>HDD 500GB</v>
          </cell>
          <cell r="Q272" t="str">
            <v>Microsoft Windows 10</v>
          </cell>
        </row>
        <row r="273">
          <cell r="A273">
            <v>536400</v>
          </cell>
          <cell r="B273">
            <v>5332</v>
          </cell>
          <cell r="C273" t="str">
            <v>Bưu điện xã Khe Tre</v>
          </cell>
          <cell r="D273" t="str">
            <v>Bưu điện KV Phú Lộc</v>
          </cell>
          <cell r="E273" t="str">
            <v>Bưu cục Nam Đông</v>
          </cell>
          <cell r="F273" t="str">
            <v>Bưu cục giao dịch cấp 2</v>
          </cell>
          <cell r="H273" t="str">
            <v>Desktop</v>
          </cell>
          <cell r="I273" t="str">
            <v>HUE-NDG-GDTT1</v>
          </cell>
          <cell r="J273" t="str">
            <v>POSBANK APEXA II</v>
          </cell>
          <cell r="K273">
            <v>13</v>
          </cell>
          <cell r="L273">
            <v>2021</v>
          </cell>
          <cell r="M273" t="str">
            <v>Đáp ứng</v>
          </cell>
          <cell r="N273" t="str">
            <v>Intel J1900 2.42GHz</v>
          </cell>
          <cell r="O273" t="str">
            <v>4GB</v>
          </cell>
          <cell r="P273" t="str">
            <v>SSD 120GB</v>
          </cell>
          <cell r="Q273" t="str">
            <v>Microsoft Windows 10</v>
          </cell>
        </row>
        <row r="274">
          <cell r="A274">
            <v>536400</v>
          </cell>
          <cell r="B274">
            <v>5332</v>
          </cell>
          <cell r="C274" t="str">
            <v>Bưu điện xã Khe Tre</v>
          </cell>
          <cell r="D274" t="str">
            <v>Bưu điện KV Phú Lộc</v>
          </cell>
          <cell r="E274" t="str">
            <v>Bưu cục Nam Đông</v>
          </cell>
          <cell r="F274" t="str">
            <v>Bưu cục giao dịch cấp 2</v>
          </cell>
          <cell r="H274" t="str">
            <v>Desktop</v>
          </cell>
          <cell r="I274" t="str">
            <v>HUE-NDG-DATA</v>
          </cell>
          <cell r="J274" t="str">
            <v>Lắp ráp ĐNA</v>
          </cell>
          <cell r="K274">
            <v>12</v>
          </cell>
          <cell r="L274">
            <v>2020</v>
          </cell>
          <cell r="M274" t="str">
            <v>Chậm</v>
          </cell>
          <cell r="N274" t="str">
            <v>AMD A6 7400k</v>
          </cell>
          <cell r="O274" t="str">
            <v>4GB</v>
          </cell>
          <cell r="P274" t="str">
            <v>HDD 500GB</v>
          </cell>
          <cell r="Q274" t="str">
            <v>Microsoft Windows 10</v>
          </cell>
        </row>
        <row r="275">
          <cell r="A275">
            <v>536400</v>
          </cell>
          <cell r="B275">
            <v>5332</v>
          </cell>
          <cell r="C275" t="str">
            <v>Bưu điện xã Khe Tre</v>
          </cell>
          <cell r="D275" t="str">
            <v>Bưu điện KV Phú Lộc</v>
          </cell>
          <cell r="E275" t="str">
            <v>Bưu cục Nam Đông</v>
          </cell>
          <cell r="F275" t="str">
            <v>Bưu cục giao dịch cấp 2</v>
          </cell>
          <cell r="H275" t="str">
            <v>Desktop</v>
          </cell>
          <cell r="I275" t="str">
            <v>HUE-NDG-GDTT2</v>
          </cell>
          <cell r="J275" t="str">
            <v>Lắp ráp ĐNA</v>
          </cell>
          <cell r="K275">
            <v>13</v>
          </cell>
          <cell r="L275">
            <v>2016</v>
          </cell>
          <cell r="M275" t="str">
            <v>Không đáp ứng cần nâng cấp</v>
          </cell>
          <cell r="N275" t="str">
            <v>Core2 E7500</v>
          </cell>
          <cell r="O275" t="str">
            <v>3GB</v>
          </cell>
          <cell r="P275" t="str">
            <v>HDD 500GB</v>
          </cell>
          <cell r="Q275" t="str">
            <v>Microsoft Windows 10</v>
          </cell>
        </row>
        <row r="276">
          <cell r="A276">
            <v>536570</v>
          </cell>
          <cell r="B276">
            <v>5332</v>
          </cell>
          <cell r="C276" t="str">
            <v>Bưu điện xã Khe Tre</v>
          </cell>
          <cell r="D276" t="str">
            <v>Bưu điện KV Phú Lộc</v>
          </cell>
          <cell r="E276" t="str">
            <v>VHX Hương Lộc</v>
          </cell>
          <cell r="F276" t="str">
            <v>Bưu điện VHX</v>
          </cell>
          <cell r="H276" t="str">
            <v>Desktop</v>
          </cell>
          <cell r="I276" t="str">
            <v>HUE-NDG-HLC</v>
          </cell>
          <cell r="J276" t="str">
            <v>Dell Optiplex 3040</v>
          </cell>
          <cell r="K276">
            <v>11</v>
          </cell>
          <cell r="L276">
            <v>2018</v>
          </cell>
          <cell r="M276" t="str">
            <v>Không đáp ứng cần nâng cấp</v>
          </cell>
          <cell r="N276" t="str">
            <v>Intel i3-6100 3.20GHz</v>
          </cell>
          <cell r="O276" t="str">
            <v>4GB</v>
          </cell>
          <cell r="P276" t="str">
            <v>HDD 500GB</v>
          </cell>
          <cell r="Q276" t="str">
            <v>Microsoft Windows 10</v>
          </cell>
        </row>
        <row r="277">
          <cell r="A277">
            <v>536420</v>
          </cell>
          <cell r="B277">
            <v>5332</v>
          </cell>
          <cell r="C277" t="str">
            <v>Bưu điện xã Khe Tre</v>
          </cell>
          <cell r="D277" t="str">
            <v>Bưu điện KV Phú Lộc</v>
          </cell>
          <cell r="E277" t="str">
            <v>VHX Hương Phú</v>
          </cell>
          <cell r="F277" t="str">
            <v>Bưu điện VHX</v>
          </cell>
          <cell r="H277" t="str">
            <v>Desktop</v>
          </cell>
          <cell r="I277" t="str">
            <v>HUE-NDG-HPU</v>
          </cell>
          <cell r="J277" t="str">
            <v>Lắp ráp ĐNA</v>
          </cell>
          <cell r="K277">
            <v>15</v>
          </cell>
          <cell r="L277">
            <v>2019</v>
          </cell>
          <cell r="M277" t="str">
            <v>Đáp ứng</v>
          </cell>
          <cell r="N277" t="str">
            <v>Intel G3240 3.1GHz</v>
          </cell>
          <cell r="O277" t="str">
            <v>4GB</v>
          </cell>
          <cell r="P277" t="str">
            <v>SSD 120GB</v>
          </cell>
          <cell r="Q277" t="str">
            <v>Microsoft Windows 10</v>
          </cell>
        </row>
        <row r="278">
          <cell r="A278">
            <v>536560</v>
          </cell>
          <cell r="B278">
            <v>5332</v>
          </cell>
          <cell r="C278" t="str">
            <v>Bưu điện xã Khe Tre</v>
          </cell>
          <cell r="D278" t="str">
            <v>Bưu điện KV Phú Lộc</v>
          </cell>
          <cell r="E278" t="str">
            <v>VHX Thượng Lộ</v>
          </cell>
          <cell r="F278" t="str">
            <v>Bưu điện VHX</v>
          </cell>
          <cell r="H278" t="str">
            <v>Desktop</v>
          </cell>
          <cell r="I278" t="str">
            <v>HUE-NDG-TLO</v>
          </cell>
          <cell r="J278" t="str">
            <v>Dell Optiplex 3040</v>
          </cell>
          <cell r="K278">
            <v>11</v>
          </cell>
          <cell r="L278">
            <v>2018</v>
          </cell>
          <cell r="M278" t="str">
            <v>Không đáp ứng cần nâng cấp</v>
          </cell>
          <cell r="N278" t="str">
            <v>Intel i3-6100 3.20GHz</v>
          </cell>
          <cell r="O278" t="str">
            <v>4GB</v>
          </cell>
          <cell r="P278" t="str">
            <v>HDD 500GB</v>
          </cell>
          <cell r="Q278" t="str">
            <v>Microsoft Windows 10</v>
          </cell>
        </row>
        <row r="279">
          <cell r="A279">
            <v>536400</v>
          </cell>
          <cell r="B279">
            <v>5332</v>
          </cell>
          <cell r="C279" t="str">
            <v>Bưu điện xã Khe Tre</v>
          </cell>
          <cell r="D279" t="str">
            <v>Bưu điện Nam Đông</v>
          </cell>
          <cell r="E279" t="str">
            <v>Bưu điện xã Nam Đông</v>
          </cell>
          <cell r="F279" t="str">
            <v>BĐ xã/phường</v>
          </cell>
          <cell r="H279" t="str">
            <v>Desktop</v>
          </cell>
        </row>
        <row r="280">
          <cell r="A280">
            <v>535390</v>
          </cell>
          <cell r="B280">
            <v>5333</v>
          </cell>
          <cell r="C280" t="str">
            <v>Bưu điện xã Bình Điền</v>
          </cell>
          <cell r="D280" t="str">
            <v>Bưu điện KV Hương Trà - Quảng Điền</v>
          </cell>
          <cell r="E280" t="str">
            <v>Bưu cục Bình Điền</v>
          </cell>
          <cell r="F280" t="str">
            <v>Bưu cục giao dịch cấp 3</v>
          </cell>
          <cell r="H280" t="str">
            <v>Desktop</v>
          </cell>
          <cell r="I280" t="str">
            <v>HUE-HTA-BDN</v>
          </cell>
          <cell r="J280" t="str">
            <v>Dell Optiplex 3040</v>
          </cell>
          <cell r="K280">
            <v>11</v>
          </cell>
          <cell r="L280">
            <v>2018</v>
          </cell>
          <cell r="M280" t="str">
            <v>Không đáp ứng cần nâng cấp</v>
          </cell>
          <cell r="N280" t="str">
            <v>Intel i3-6100 3.20GHz</v>
          </cell>
          <cell r="O280" t="str">
            <v>4GB</v>
          </cell>
          <cell r="P280" t="str">
            <v>HDD 500GB</v>
          </cell>
          <cell r="Q280" t="str">
            <v>Microsoft Windows 7</v>
          </cell>
        </row>
        <row r="281">
          <cell r="A281">
            <v>535490</v>
          </cell>
          <cell r="B281">
            <v>5333</v>
          </cell>
          <cell r="C281" t="str">
            <v>Bưu điện xã Bình Điền</v>
          </cell>
          <cell r="D281" t="str">
            <v>Bưu điện KV Hương Trà - Quảng Điền</v>
          </cell>
          <cell r="E281" t="str">
            <v>VHX Bình Thành</v>
          </cell>
          <cell r="F281" t="str">
            <v>Bưu điện VHX</v>
          </cell>
          <cell r="H281" t="str">
            <v>Desktop</v>
          </cell>
          <cell r="I281" t="str">
            <v>HUE-HTA-BTH</v>
          </cell>
          <cell r="J281" t="str">
            <v>Lắp ráp ĐNA</v>
          </cell>
          <cell r="K281">
            <v>11</v>
          </cell>
          <cell r="L281">
            <v>2018</v>
          </cell>
          <cell r="M281" t="str">
            <v>Chậm</v>
          </cell>
          <cell r="N281" t="str">
            <v>Intel G4400 3.3GHz</v>
          </cell>
          <cell r="O281" t="str">
            <v>4GB</v>
          </cell>
          <cell r="P281" t="str">
            <v>SSD 250GB</v>
          </cell>
          <cell r="Q281" t="str">
            <v>Microsoft Windows 10</v>
          </cell>
        </row>
        <row r="282">
          <cell r="A282">
            <v>535460</v>
          </cell>
          <cell r="B282">
            <v>5333</v>
          </cell>
          <cell r="C282" t="str">
            <v>Bưu điện xã Bình Điền</v>
          </cell>
          <cell r="D282" t="str">
            <v>Bưu điện KV Hương Trà - Quảng Điền</v>
          </cell>
          <cell r="E282" t="str">
            <v>VHX Hương Bình</v>
          </cell>
          <cell r="F282" t="str">
            <v>Bưu điện VHX</v>
          </cell>
          <cell r="H282" t="str">
            <v>Desktop</v>
          </cell>
          <cell r="I282" t="str">
            <v>HUE-HBH</v>
          </cell>
          <cell r="J282" t="str">
            <v>Dell Optiplex 5060</v>
          </cell>
          <cell r="K282">
            <v>7</v>
          </cell>
          <cell r="L282">
            <v>2020</v>
          </cell>
          <cell r="M282" t="str">
            <v>Không đáp ứng cần nâng cấp</v>
          </cell>
          <cell r="N282" t="str">
            <v>Intel i3-8100 3.20GHz</v>
          </cell>
          <cell r="O282" t="str">
            <v>4GB</v>
          </cell>
          <cell r="P282" t="str">
            <v>HDD 500GB</v>
          </cell>
          <cell r="Q282" t="str">
            <v/>
          </cell>
        </row>
        <row r="283">
          <cell r="A283">
            <v>535712</v>
          </cell>
          <cell r="B283">
            <v>5335</v>
          </cell>
          <cell r="C283" t="str">
            <v>Bưu điện xã A Lưới 2</v>
          </cell>
          <cell r="D283" t="str">
            <v>Bưu điện KV A Lưới</v>
          </cell>
          <cell r="E283" t="str">
            <v>Bưu cục VP BĐ huyện A Lưới</v>
          </cell>
          <cell r="F283" t="str">
            <v>Văn phòng</v>
          </cell>
          <cell r="G283" t="str">
            <v>Cài lại windows</v>
          </cell>
          <cell r="H283" t="str">
            <v>Desktop</v>
          </cell>
          <cell r="I283" t="str">
            <v>HUE-ALI-NIHCM</v>
          </cell>
          <cell r="J283" t="str">
            <v>Lắp ráp ĐNA</v>
          </cell>
          <cell r="K283">
            <v>13</v>
          </cell>
          <cell r="L283">
            <v>2019</v>
          </cell>
          <cell r="M283" t="str">
            <v>Chậm</v>
          </cell>
          <cell r="N283" t="str">
            <v>Intel G4400 3.3GHz</v>
          </cell>
          <cell r="O283" t="str">
            <v>4GB</v>
          </cell>
          <cell r="P283" t="str">
            <v>HDD 500GB</v>
          </cell>
          <cell r="Q283" t="str">
            <v>Microsoft Windows 10</v>
          </cell>
        </row>
        <row r="284">
          <cell r="A284">
            <v>535990</v>
          </cell>
          <cell r="B284">
            <v>5335</v>
          </cell>
          <cell r="C284" t="str">
            <v>Bưu điện xã A Lưới 2</v>
          </cell>
          <cell r="D284" t="str">
            <v>Bưu điện KV A Lưới</v>
          </cell>
          <cell r="E284" t="str">
            <v>VHX Hồng Thủy</v>
          </cell>
          <cell r="F284" t="str">
            <v>Bưu điện VHX</v>
          </cell>
          <cell r="G284" t="str">
            <v>Bưu điện VHX Hồng Thủy</v>
          </cell>
          <cell r="H284" t="str">
            <v>Desktop</v>
          </cell>
          <cell r="I284" t="str">
            <v>HUE-ALI-HTY</v>
          </cell>
          <cell r="J284" t="str">
            <v>HP Prodesk 600 G5</v>
          </cell>
          <cell r="K284">
            <v>1</v>
          </cell>
          <cell r="L284">
            <v>2020</v>
          </cell>
          <cell r="M284" t="str">
            <v>Nhanh</v>
          </cell>
          <cell r="N284" t="str">
            <v>Intel i3 9100T 3.1GHz</v>
          </cell>
          <cell r="O284" t="str">
            <v>4GB</v>
          </cell>
          <cell r="P284" t="str">
            <v>HDD 500GB</v>
          </cell>
          <cell r="Q284" t="str">
            <v/>
          </cell>
        </row>
        <row r="285">
          <cell r="A285">
            <v>535712</v>
          </cell>
          <cell r="B285">
            <v>5335</v>
          </cell>
          <cell r="C285" t="str">
            <v>Bưu điện xã A Lưới 2</v>
          </cell>
          <cell r="D285" t="str">
            <v>Bưu điện KV A Lưới</v>
          </cell>
          <cell r="E285" t="str">
            <v>Bưu cục VP BĐ huyện A Lưới</v>
          </cell>
          <cell r="F285" t="str">
            <v>Văn phòng</v>
          </cell>
          <cell r="G285" t="str">
            <v>Giám đốc</v>
          </cell>
          <cell r="H285" t="str">
            <v>Desktop</v>
          </cell>
          <cell r="I285" t="str">
            <v>HUE-ALI-TRUNGHS</v>
          </cell>
          <cell r="J285" t="str">
            <v>HP Prodesk 600 G5</v>
          </cell>
          <cell r="K285">
            <v>15</v>
          </cell>
          <cell r="L285">
            <v>2020</v>
          </cell>
          <cell r="M285" t="str">
            <v>Nhanh</v>
          </cell>
          <cell r="N285" t="str">
            <v>Intel i3 9100T 3.1GHz</v>
          </cell>
          <cell r="O285" t="str">
            <v>4GB</v>
          </cell>
          <cell r="P285" t="str">
            <v>HDD 500GB</v>
          </cell>
          <cell r="Q285" t="str">
            <v>Microsoft Windows 10</v>
          </cell>
        </row>
        <row r="286">
          <cell r="A286">
            <v>535700</v>
          </cell>
          <cell r="B286">
            <v>5335</v>
          </cell>
          <cell r="C286" t="str">
            <v>Bưu điện xã A Lưới 2</v>
          </cell>
          <cell r="D286" t="str">
            <v>Bưu điện KV A Lưới</v>
          </cell>
          <cell r="E286" t="str">
            <v>Bưu cục A Lưới</v>
          </cell>
          <cell r="F286" t="str">
            <v>Bưu cục giao dịch cấp 2</v>
          </cell>
          <cell r="G286" t="str">
            <v>PHAN VĂN TIẾN</v>
          </cell>
          <cell r="H286" t="str">
            <v>Desktop</v>
          </cell>
          <cell r="I286" t="str">
            <v>HUE-ALI-TIENPV</v>
          </cell>
          <cell r="J286" t="str">
            <v>Dell Optiplex 5060</v>
          </cell>
          <cell r="K286">
            <v>14</v>
          </cell>
          <cell r="L286">
            <v>2020</v>
          </cell>
          <cell r="M286" t="str">
            <v>Không đáp ứng cần nâng cấp</v>
          </cell>
          <cell r="N286" t="str">
            <v>Intel i3-8100 3.20GHz</v>
          </cell>
          <cell r="O286" t="str">
            <v>8GB</v>
          </cell>
          <cell r="P286" t="str">
            <v>HDD 500GB</v>
          </cell>
          <cell r="Q286" t="str">
            <v>Microsoft Windows 10</v>
          </cell>
        </row>
        <row r="287">
          <cell r="A287">
            <v>535712</v>
          </cell>
          <cell r="B287">
            <v>5335</v>
          </cell>
          <cell r="C287" t="str">
            <v>Bưu điện xã A Lưới 2</v>
          </cell>
          <cell r="D287" t="str">
            <v>Bưu điện KV A Lưới</v>
          </cell>
          <cell r="E287" t="str">
            <v>Bưu cục VP BĐ huyện A Lưới</v>
          </cell>
          <cell r="F287" t="str">
            <v>Văn phòng</v>
          </cell>
          <cell r="G287" t="str">
            <v>HỒ THỊ KIẾN ĐẠT</v>
          </cell>
          <cell r="H287" t="str">
            <v>Desktop</v>
          </cell>
          <cell r="I287" t="str">
            <v>HUE-ALI-DATHTK</v>
          </cell>
          <cell r="J287" t="str">
            <v>Lắp ráp ĐNA</v>
          </cell>
          <cell r="K287">
            <v>14</v>
          </cell>
          <cell r="L287">
            <v>2019</v>
          </cell>
          <cell r="M287" t="str">
            <v>Chậm</v>
          </cell>
          <cell r="N287" t="str">
            <v>Intel G4400 3.3GHz</v>
          </cell>
          <cell r="O287" t="str">
            <v>4GB</v>
          </cell>
          <cell r="P287" t="str">
            <v>HDD 500GB</v>
          </cell>
          <cell r="Q287" t="str">
            <v>Microsoft Windows 7</v>
          </cell>
        </row>
        <row r="288">
          <cell r="A288">
            <v>535712</v>
          </cell>
          <cell r="B288">
            <v>5335</v>
          </cell>
          <cell r="C288" t="str">
            <v>Bưu điện xã A Lưới 2</v>
          </cell>
          <cell r="D288" t="str">
            <v>Bưu điện KV A Lưới</v>
          </cell>
          <cell r="E288" t="str">
            <v>Bưu cục VP BĐ huyện A Lưới</v>
          </cell>
          <cell r="F288" t="str">
            <v>Văn phòng</v>
          </cell>
          <cell r="G288" t="str">
            <v>NGUYỄN THỊ THANH</v>
          </cell>
          <cell r="H288" t="str">
            <v>Desktop</v>
          </cell>
          <cell r="I288" t="str">
            <v>HUE-ALI-THANHNT</v>
          </cell>
          <cell r="J288" t="str">
            <v>HP Prodesk 600 G5</v>
          </cell>
          <cell r="K288">
            <v>15</v>
          </cell>
          <cell r="L288">
            <v>2020</v>
          </cell>
          <cell r="M288" t="str">
            <v>Nhanh</v>
          </cell>
          <cell r="N288" t="str">
            <v>Intel i3 9100T 3.1GHz</v>
          </cell>
          <cell r="O288" t="str">
            <v>4GB</v>
          </cell>
          <cell r="P288" t="str">
            <v>HDD 500GB</v>
          </cell>
          <cell r="Q288" t="str">
            <v>Microsoft Windows 10</v>
          </cell>
        </row>
        <row r="289">
          <cell r="A289">
            <v>535700</v>
          </cell>
          <cell r="B289">
            <v>5335</v>
          </cell>
          <cell r="C289" t="str">
            <v>Bưu điện xã A Lưới 2</v>
          </cell>
          <cell r="D289" t="str">
            <v>Bưu điện KV A Lưới</v>
          </cell>
          <cell r="E289" t="str">
            <v>Bưu cục A Lưới</v>
          </cell>
          <cell r="F289" t="str">
            <v>Bưu cục giao dịch cấp 2</v>
          </cell>
          <cell r="H289" t="str">
            <v>Desktop</v>
          </cell>
          <cell r="I289" t="str">
            <v>HUE-ALI-GDTT01</v>
          </cell>
          <cell r="J289" t="str">
            <v>POSBANK APEXA II</v>
          </cell>
          <cell r="K289">
            <v>14</v>
          </cell>
          <cell r="L289">
            <v>2021</v>
          </cell>
          <cell r="M289" t="str">
            <v>Đáp ứng</v>
          </cell>
          <cell r="N289" t="str">
            <v>Intel J1900 2.42GHz</v>
          </cell>
          <cell r="O289" t="str">
            <v>4GB</v>
          </cell>
          <cell r="P289" t="str">
            <v>SSD 120GB</v>
          </cell>
          <cell r="Q289" t="str">
            <v>Microsoft Windows 10</v>
          </cell>
        </row>
        <row r="290">
          <cell r="A290">
            <v>535700</v>
          </cell>
          <cell r="B290">
            <v>5335</v>
          </cell>
          <cell r="C290" t="str">
            <v>Bưu điện xã A Lưới 2</v>
          </cell>
          <cell r="D290" t="str">
            <v>Bưu điện KV A Lưới</v>
          </cell>
          <cell r="E290" t="str">
            <v>Bưu cục A Lưới</v>
          </cell>
          <cell r="F290" t="str">
            <v>Bưu cục giao dịch cấp 2</v>
          </cell>
          <cell r="H290" t="str">
            <v>Desktop</v>
          </cell>
          <cell r="I290" t="str">
            <v>HUE-ALI-GDTT02</v>
          </cell>
          <cell r="J290" t="str">
            <v>Lắp ráp ĐNA</v>
          </cell>
          <cell r="K290">
            <v>14</v>
          </cell>
          <cell r="L290">
            <v>2019</v>
          </cell>
          <cell r="M290" t="str">
            <v>Không đáp ứng cần nâng cấp</v>
          </cell>
          <cell r="N290" t="str">
            <v>Intel G2030 3.0GHz</v>
          </cell>
          <cell r="O290" t="str">
            <v>2GB</v>
          </cell>
          <cell r="P290" t="str">
            <v>HDD 500GB</v>
          </cell>
          <cell r="Q290" t="str">
            <v>Microsoft Windows 7</v>
          </cell>
        </row>
        <row r="291">
          <cell r="A291">
            <v>535870</v>
          </cell>
          <cell r="B291">
            <v>5335</v>
          </cell>
          <cell r="C291" t="str">
            <v>Bưu điện xã A Lưới 2</v>
          </cell>
          <cell r="D291" t="str">
            <v>Bưu điện KV A Lưới</v>
          </cell>
          <cell r="E291" t="str">
            <v>VHX A Ngo</v>
          </cell>
          <cell r="F291" t="str">
            <v>Bưu điện VHX</v>
          </cell>
          <cell r="H291" t="str">
            <v>Desktop</v>
          </cell>
          <cell r="I291" t="str">
            <v>HUE-ALI-ANO</v>
          </cell>
          <cell r="J291" t="str">
            <v>Dell Optiplex 5060</v>
          </cell>
          <cell r="K291">
            <v>11</v>
          </cell>
          <cell r="L291">
            <v>2020</v>
          </cell>
          <cell r="M291" t="str">
            <v>Không đáp ứng cần nâng cấp</v>
          </cell>
          <cell r="N291" t="str">
            <v>Intel i3-8100 3.20GHz</v>
          </cell>
          <cell r="O291" t="str">
            <v>4GB</v>
          </cell>
          <cell r="P291" t="str">
            <v>HDD 500GB</v>
          </cell>
          <cell r="Q291" t="str">
            <v>Microsoft Windows 10</v>
          </cell>
        </row>
        <row r="292">
          <cell r="A292">
            <v>535760</v>
          </cell>
          <cell r="B292">
            <v>5335</v>
          </cell>
          <cell r="C292" t="str">
            <v>Bưu điện xã A Lưới 2</v>
          </cell>
          <cell r="D292" t="str">
            <v>Bưu điện KV A Lưới</v>
          </cell>
          <cell r="E292" t="str">
            <v>VHX Hồng Bắc</v>
          </cell>
          <cell r="F292" t="str">
            <v>Bưu điện VHX</v>
          </cell>
          <cell r="H292" t="str">
            <v>Desktop</v>
          </cell>
          <cell r="J292" t="str">
            <v>Dell Optiplex 5060</v>
          </cell>
          <cell r="K292">
            <v>0</v>
          </cell>
          <cell r="L292">
            <v>2020</v>
          </cell>
          <cell r="M292" t="str">
            <v>Không đáp ứng cần nâng cấp</v>
          </cell>
          <cell r="N292" t="str">
            <v>Intel i3-8100 3.20GHz</v>
          </cell>
          <cell r="O292" t="str">
            <v>4GB</v>
          </cell>
          <cell r="P292" t="str">
            <v>HDD 500GB</v>
          </cell>
          <cell r="Q292" t="str">
            <v/>
          </cell>
        </row>
        <row r="293">
          <cell r="A293">
            <v>535720</v>
          </cell>
          <cell r="B293">
            <v>5335</v>
          </cell>
          <cell r="C293" t="str">
            <v>Bưu điện xã A Lưới 2</v>
          </cell>
          <cell r="D293" t="str">
            <v>Bưu điện KV A Lưới</v>
          </cell>
          <cell r="E293" t="str">
            <v>VHX Hồng Kim</v>
          </cell>
          <cell r="F293" t="str">
            <v>Bưu điện VHX</v>
          </cell>
          <cell r="H293" t="str">
            <v>Desktop</v>
          </cell>
          <cell r="I293" t="str">
            <v>HUE-ALI-HKM</v>
          </cell>
          <cell r="J293" t="str">
            <v>HP Prodesk 600 G5</v>
          </cell>
          <cell r="K293">
            <v>11</v>
          </cell>
          <cell r="L293">
            <v>2020</v>
          </cell>
          <cell r="M293" t="str">
            <v>Nhanh</v>
          </cell>
          <cell r="N293" t="str">
            <v>Intel i3 9100T 3.1GHz</v>
          </cell>
          <cell r="O293" t="str">
            <v>4GB</v>
          </cell>
          <cell r="P293" t="str">
            <v>HDD 500GB</v>
          </cell>
          <cell r="Q293" t="str">
            <v/>
          </cell>
        </row>
        <row r="294">
          <cell r="A294">
            <v>535740</v>
          </cell>
          <cell r="B294">
            <v>5335</v>
          </cell>
          <cell r="C294" t="str">
            <v>Bưu điện xã A Lưới 2</v>
          </cell>
          <cell r="D294" t="str">
            <v>Bưu điện KV A Lưới</v>
          </cell>
          <cell r="E294" t="str">
            <v>VHX Hồng Trung</v>
          </cell>
          <cell r="F294" t="str">
            <v>Bưu điện VHX</v>
          </cell>
          <cell r="H294" t="str">
            <v>Desktop</v>
          </cell>
          <cell r="I294" t="str">
            <v>HUE-ALI-HTRG</v>
          </cell>
          <cell r="J294" t="str">
            <v>Dell Optiplex 5060</v>
          </cell>
          <cell r="K294">
            <v>12</v>
          </cell>
          <cell r="L294">
            <v>2020</v>
          </cell>
          <cell r="M294" t="str">
            <v>Không đáp ứng cần nâng cấp</v>
          </cell>
          <cell r="N294" t="str">
            <v>Intel i3-8100 3.20GHz</v>
          </cell>
          <cell r="O294" t="str">
            <v>4GB</v>
          </cell>
          <cell r="P294" t="str">
            <v>HDD 500GB</v>
          </cell>
          <cell r="Q294" t="str">
            <v>Microsoft Windows 10</v>
          </cell>
        </row>
        <row r="295">
          <cell r="A295">
            <v>535750</v>
          </cell>
          <cell r="B295">
            <v>5335</v>
          </cell>
          <cell r="C295" t="str">
            <v>Bưu điện xã A Lưới 2</v>
          </cell>
          <cell r="D295" t="str">
            <v>Bưu điện KV A Lưới</v>
          </cell>
          <cell r="E295" t="str">
            <v>VHX Hồng Vân</v>
          </cell>
          <cell r="F295" t="str">
            <v>Bưu điện VHX</v>
          </cell>
          <cell r="H295" t="str">
            <v>Desktop</v>
          </cell>
          <cell r="I295" t="str">
            <v>HUE-ALI-HVN</v>
          </cell>
          <cell r="J295" t="str">
            <v>Dell Optiplex 5060</v>
          </cell>
          <cell r="K295">
            <v>11</v>
          </cell>
          <cell r="L295">
            <v>2020</v>
          </cell>
          <cell r="M295" t="str">
            <v>Không đáp ứng cần nâng cấp</v>
          </cell>
          <cell r="N295" t="str">
            <v>Intel i3-8100 3.20GHz</v>
          </cell>
          <cell r="O295" t="str">
            <v>4GB</v>
          </cell>
          <cell r="P295" t="str">
            <v>HDD 500GB</v>
          </cell>
          <cell r="Q295" t="str">
            <v>Microsoft Windows 10</v>
          </cell>
        </row>
        <row r="296">
          <cell r="A296">
            <v>535780</v>
          </cell>
          <cell r="B296">
            <v>5335</v>
          </cell>
          <cell r="C296" t="str">
            <v>Bưu điện xã A Lưới 2</v>
          </cell>
          <cell r="D296" t="str">
            <v>Bưu điện KV A Lưới</v>
          </cell>
          <cell r="E296" t="str">
            <v>VHX Nhâm</v>
          </cell>
          <cell r="F296" t="str">
            <v>Bưu điện VHX</v>
          </cell>
          <cell r="H296" t="str">
            <v>Desktop</v>
          </cell>
          <cell r="I296" t="str">
            <v>HUE-ALI-NHAM</v>
          </cell>
          <cell r="J296" t="str">
            <v>HP Prodesk 600 G5</v>
          </cell>
          <cell r="K296">
            <v>12</v>
          </cell>
          <cell r="L296">
            <v>2020</v>
          </cell>
          <cell r="M296" t="str">
            <v>Nhanh</v>
          </cell>
          <cell r="N296" t="str">
            <v>Intel i3 9100T 3.1GHz</v>
          </cell>
          <cell r="O296" t="str">
            <v>4GB</v>
          </cell>
          <cell r="P296" t="str">
            <v>HDD 500GB</v>
          </cell>
          <cell r="Q296" t="str">
            <v>Microsoft Windows 11</v>
          </cell>
        </row>
        <row r="297">
          <cell r="A297">
            <v>535712</v>
          </cell>
          <cell r="B297">
            <v>5335</v>
          </cell>
          <cell r="C297" t="str">
            <v>Bưu điện xã A Lưới 2</v>
          </cell>
          <cell r="D297" t="str">
            <v>Bưu điện KV A Lưới</v>
          </cell>
          <cell r="E297" t="str">
            <v>Bưu cục VP BĐ huyện A Lưới</v>
          </cell>
          <cell r="F297" t="str">
            <v>Văn phòng</v>
          </cell>
          <cell r="H297" t="str">
            <v>Desktop</v>
          </cell>
          <cell r="I297" t="str">
            <v>HUE-ALI-TIENNV</v>
          </cell>
          <cell r="J297" t="str">
            <v>Dell Optiplex 5060</v>
          </cell>
          <cell r="K297">
            <v>14</v>
          </cell>
          <cell r="L297">
            <v>2020</v>
          </cell>
          <cell r="M297" t="str">
            <v>Không đáp ứng cần nâng cấp</v>
          </cell>
          <cell r="N297" t="str">
            <v>Intel i3-8100 3.20GHz</v>
          </cell>
          <cell r="O297" t="str">
            <v>4GB</v>
          </cell>
          <cell r="P297" t="str">
            <v>HDD 500GB</v>
          </cell>
          <cell r="Q297" t="str">
            <v>Microsoft Windows 10</v>
          </cell>
        </row>
        <row r="298">
          <cell r="A298">
            <v>535920</v>
          </cell>
          <cell r="B298">
            <v>5336</v>
          </cell>
          <cell r="C298" t="str">
            <v>Bưu điện xã A Lưới 3</v>
          </cell>
          <cell r="D298" t="str">
            <v>Bưu điện KV A Lưới</v>
          </cell>
          <cell r="E298" t="str">
            <v>VHX Hương Phong</v>
          </cell>
          <cell r="F298" t="str">
            <v>Bưu điện VHX</v>
          </cell>
          <cell r="G298" t="str">
            <v>chờ</v>
          </cell>
          <cell r="H298" t="str">
            <v>Desktop</v>
          </cell>
          <cell r="J298" t="str">
            <v>HP Prodesk 600 G5</v>
          </cell>
          <cell r="K298">
            <v>0</v>
          </cell>
          <cell r="L298">
            <v>2020</v>
          </cell>
          <cell r="M298" t="str">
            <v>Nhanh</v>
          </cell>
          <cell r="N298" t="str">
            <v>Intel i3 9100T 3.1GHz</v>
          </cell>
          <cell r="O298" t="str">
            <v>4GB</v>
          </cell>
          <cell r="P298" t="str">
            <v>HDD 500GB</v>
          </cell>
          <cell r="Q298" t="str">
            <v/>
          </cell>
        </row>
        <row r="299">
          <cell r="A299">
            <v>535910</v>
          </cell>
          <cell r="B299">
            <v>5336</v>
          </cell>
          <cell r="C299" t="str">
            <v>Bưu điện xã A Lưới 3</v>
          </cell>
          <cell r="D299" t="str">
            <v>Bưu điện KV A Lưới</v>
          </cell>
          <cell r="E299" t="str">
            <v>Bưu cục Bốt Đỏ</v>
          </cell>
          <cell r="F299" t="str">
            <v>Bưu cục giao dịch cấp 3</v>
          </cell>
          <cell r="H299" t="str">
            <v>Desktop</v>
          </cell>
          <cell r="I299" t="str">
            <v>HUE-ALI-BDO</v>
          </cell>
          <cell r="J299" t="str">
            <v>Lắp ráp ĐNA h81</v>
          </cell>
          <cell r="K299">
            <v>11</v>
          </cell>
          <cell r="L299">
            <v>2018</v>
          </cell>
          <cell r="M299" t="str">
            <v>Chậm</v>
          </cell>
          <cell r="N299" t="str">
            <v>Intel G4400 3.3GHz</v>
          </cell>
          <cell r="O299" t="str">
            <v>4GB</v>
          </cell>
          <cell r="P299" t="str">
            <v>HDD 500GB</v>
          </cell>
          <cell r="Q299" t="str">
            <v>Microsoft Windows 7</v>
          </cell>
        </row>
        <row r="300">
          <cell r="A300">
            <v>535950</v>
          </cell>
          <cell r="B300">
            <v>5336</v>
          </cell>
          <cell r="C300" t="str">
            <v>Bưu điện xã A Lưới 3</v>
          </cell>
          <cell r="D300" t="str">
            <v>Bưu điện KV A Lưới</v>
          </cell>
          <cell r="E300" t="str">
            <v>VHX A Roàng</v>
          </cell>
          <cell r="F300" t="str">
            <v>Bưu điện VHX</v>
          </cell>
          <cell r="H300" t="str">
            <v>Desktop</v>
          </cell>
          <cell r="I300" t="str">
            <v>HUE-ALI-ARG</v>
          </cell>
          <cell r="J300" t="str">
            <v>Dell Optiplex 5060</v>
          </cell>
          <cell r="K300">
            <v>11</v>
          </cell>
          <cell r="L300">
            <v>2020</v>
          </cell>
          <cell r="M300" t="str">
            <v>Không đáp ứng cần nâng cấp</v>
          </cell>
          <cell r="N300" t="str">
            <v>Intel i3-8100 3.20GHz</v>
          </cell>
          <cell r="O300" t="str">
            <v>4GB</v>
          </cell>
          <cell r="P300" t="str">
            <v>HDD 500GB</v>
          </cell>
          <cell r="Q300" t="str">
            <v/>
          </cell>
        </row>
        <row r="301">
          <cell r="A301">
            <v>535840</v>
          </cell>
          <cell r="B301">
            <v>5336</v>
          </cell>
          <cell r="C301" t="str">
            <v>Bưu điện xã A Lưới 3</v>
          </cell>
          <cell r="D301" t="str">
            <v>Bưu điện KV A Lưới</v>
          </cell>
          <cell r="E301" t="str">
            <v>VHX Đông Sơn</v>
          </cell>
          <cell r="F301" t="str">
            <v>Bưu điện VHX</v>
          </cell>
          <cell r="H301" t="str">
            <v>Desktop</v>
          </cell>
          <cell r="I301" t="str">
            <v>HUE-ALI-DSN</v>
          </cell>
          <cell r="J301" t="str">
            <v>h81 sở</v>
          </cell>
          <cell r="K301">
            <v>11</v>
          </cell>
          <cell r="L301">
            <v>2018</v>
          </cell>
          <cell r="M301" t="str">
            <v>Đáp ứng</v>
          </cell>
          <cell r="N301" t="str">
            <v>Intel i3 7100 3.9GHz</v>
          </cell>
          <cell r="O301" t="str">
            <v>4GB</v>
          </cell>
          <cell r="P301" t="str">
            <v>SSD 120GB</v>
          </cell>
          <cell r="Q301" t="str">
            <v/>
          </cell>
        </row>
        <row r="302">
          <cell r="A302">
            <v>535970</v>
          </cell>
          <cell r="B302">
            <v>5336</v>
          </cell>
          <cell r="C302" t="str">
            <v>Bưu điện xã A Lưới 3</v>
          </cell>
          <cell r="D302" t="str">
            <v>Bưu điện KV A Lưới</v>
          </cell>
          <cell r="E302" t="str">
            <v>VHX Hồng Hạ</v>
          </cell>
          <cell r="F302" t="str">
            <v>Bưu điện VHX</v>
          </cell>
          <cell r="H302" t="str">
            <v>Desktop</v>
          </cell>
          <cell r="I302" t="str">
            <v>HUE-ALI-HHA</v>
          </cell>
          <cell r="J302" t="str">
            <v>h81 sở</v>
          </cell>
          <cell r="K302">
            <v>11</v>
          </cell>
          <cell r="L302">
            <v>2015</v>
          </cell>
          <cell r="M302" t="str">
            <v>Đáp ứng</v>
          </cell>
          <cell r="N302" t="str">
            <v>Intel i3 7100 3.9GHz</v>
          </cell>
          <cell r="O302" t="str">
            <v>4GB</v>
          </cell>
          <cell r="P302" t="str">
            <v>HDD 500GB</v>
          </cell>
          <cell r="Q302" t="str">
            <v>Microsoft Windows 7</v>
          </cell>
        </row>
        <row r="303">
          <cell r="A303">
            <v>535800</v>
          </cell>
          <cell r="B303">
            <v>5336</v>
          </cell>
          <cell r="C303" t="str">
            <v>Bưu điện xã A Lưới 3</v>
          </cell>
          <cell r="D303" t="str">
            <v>Bưu điện KV A Lưới</v>
          </cell>
          <cell r="E303" t="str">
            <v>VHX Hồng Thái</v>
          </cell>
          <cell r="F303" t="str">
            <v>Bưu điện VHX</v>
          </cell>
          <cell r="H303" t="str">
            <v>Desktop</v>
          </cell>
          <cell r="I303" t="str">
            <v>HUE-ALI-HTI</v>
          </cell>
          <cell r="J303" t="str">
            <v>h81 sở</v>
          </cell>
          <cell r="K303">
            <v>11</v>
          </cell>
          <cell r="L303">
            <v>2018</v>
          </cell>
          <cell r="M303" t="str">
            <v>Đáp ứng</v>
          </cell>
          <cell r="N303" t="str">
            <v>Intel i3 7100 3.9GHz</v>
          </cell>
          <cell r="O303" t="str">
            <v>4GB</v>
          </cell>
          <cell r="P303" t="str">
            <v>HDD 500GB</v>
          </cell>
          <cell r="Q303" t="str">
            <v/>
          </cell>
        </row>
        <row r="304">
          <cell r="A304">
            <v>535820</v>
          </cell>
          <cell r="B304">
            <v>5336</v>
          </cell>
          <cell r="C304" t="str">
            <v>Bưu điện xã A Lưới 3</v>
          </cell>
          <cell r="D304" t="str">
            <v>Bưu điện KV A Lưới</v>
          </cell>
          <cell r="E304" t="str">
            <v>VHX Hồng Thượng</v>
          </cell>
          <cell r="F304" t="str">
            <v>Bưu điện VHX</v>
          </cell>
          <cell r="H304" t="str">
            <v>Desktop</v>
          </cell>
          <cell r="J304" t="str">
            <v>Dell Optiplex 5060</v>
          </cell>
          <cell r="K304">
            <v>0</v>
          </cell>
          <cell r="L304">
            <v>2020</v>
          </cell>
          <cell r="M304" t="str">
            <v>Không đáp ứng cần nâng cấp</v>
          </cell>
          <cell r="N304" t="str">
            <v>Intel i3-8100 3.20GHz</v>
          </cell>
          <cell r="O304" t="str">
            <v>4GB</v>
          </cell>
          <cell r="P304" t="str">
            <v>HDD 500GB</v>
          </cell>
          <cell r="Q304" t="str">
            <v/>
          </cell>
        </row>
        <row r="305">
          <cell r="A305">
            <v>535930</v>
          </cell>
          <cell r="B305">
            <v>5336</v>
          </cell>
          <cell r="C305" t="str">
            <v>Bưu điện xã A Lưới 3</v>
          </cell>
          <cell r="D305" t="str">
            <v>Bưu điện KV A Lưới</v>
          </cell>
          <cell r="E305" t="str">
            <v>VHX Hương Lâm</v>
          </cell>
          <cell r="F305" t="str">
            <v>Bưu điện VHX</v>
          </cell>
          <cell r="H305" t="str">
            <v>Desktop</v>
          </cell>
          <cell r="I305" t="str">
            <v>HUE-ALI-HLM</v>
          </cell>
          <cell r="J305" t="str">
            <v>h81 sở</v>
          </cell>
          <cell r="K305">
            <v>11</v>
          </cell>
          <cell r="L305">
            <v>2015</v>
          </cell>
          <cell r="M305" t="str">
            <v>Đáp ứng</v>
          </cell>
          <cell r="N305" t="str">
            <v>Intel i3 7100 3.9GHz</v>
          </cell>
          <cell r="O305" t="str">
            <v>4GB</v>
          </cell>
          <cell r="P305" t="str">
            <v>HDD 500GB</v>
          </cell>
          <cell r="Q305" t="str">
            <v>Microsoft Windows 7</v>
          </cell>
        </row>
        <row r="306">
          <cell r="A306">
            <v>535980</v>
          </cell>
          <cell r="B306">
            <v>5336</v>
          </cell>
          <cell r="C306" t="str">
            <v>Bưu điện xã A Lưới 3</v>
          </cell>
          <cell r="D306" t="str">
            <v>Bưu điện KV A Lưới</v>
          </cell>
          <cell r="E306" t="str">
            <v>VHX Hương Nguyên</v>
          </cell>
          <cell r="F306" t="str">
            <v>Bưu điện VHX</v>
          </cell>
          <cell r="H306" t="str">
            <v>Desktop</v>
          </cell>
          <cell r="I306" t="str">
            <v>HUE-ALI-HNN</v>
          </cell>
          <cell r="J306" t="str">
            <v>HP Prodesk 600 G5</v>
          </cell>
          <cell r="K306">
            <v>11</v>
          </cell>
          <cell r="L306">
            <v>2020</v>
          </cell>
          <cell r="M306" t="str">
            <v>Nhanh</v>
          </cell>
          <cell r="N306" t="str">
            <v>Intel i3 9100T 3.1GHz</v>
          </cell>
          <cell r="O306" t="str">
            <v>4GB</v>
          </cell>
          <cell r="P306" t="str">
            <v>SSD 120GB</v>
          </cell>
          <cell r="Q306" t="str">
            <v/>
          </cell>
        </row>
        <row r="307">
          <cell r="A307">
            <v>535911</v>
          </cell>
          <cell r="B307">
            <v>5336</v>
          </cell>
          <cell r="C307" t="str">
            <v>Bưu điện xã A Lưới 3</v>
          </cell>
          <cell r="D307" t="str">
            <v>Bưu điện KV A Lưới</v>
          </cell>
          <cell r="E307" t="str">
            <v>VHX Phú Vinh</v>
          </cell>
          <cell r="F307" t="str">
            <v>Bưu điện VHX</v>
          </cell>
          <cell r="H307" t="str">
            <v>Desktop</v>
          </cell>
          <cell r="J307" t="str">
            <v>h81 sở</v>
          </cell>
          <cell r="K307">
            <v>0</v>
          </cell>
          <cell r="L307">
            <v>2018</v>
          </cell>
          <cell r="M307" t="str">
            <v>Đáp ứng</v>
          </cell>
          <cell r="N307" t="str">
            <v>Intel i3 7100 3.9GHz</v>
          </cell>
          <cell r="O307" t="str">
            <v>4GB</v>
          </cell>
          <cell r="P307" t="str">
            <v>HDD 500GB</v>
          </cell>
          <cell r="Q307" t="str">
            <v/>
          </cell>
        </row>
        <row r="308">
          <cell r="A308">
            <v>535890</v>
          </cell>
          <cell r="B308">
            <v>5336</v>
          </cell>
          <cell r="C308" t="str">
            <v>Bưu điện xã A Lưới 3</v>
          </cell>
          <cell r="D308" t="str">
            <v>Bưu điện KV A Lưới</v>
          </cell>
          <cell r="E308" t="str">
            <v>VHX Sơn Thủy</v>
          </cell>
          <cell r="F308" t="str">
            <v>Bưu điện VHX</v>
          </cell>
          <cell r="H308" t="str">
            <v>Desktop</v>
          </cell>
          <cell r="I308" t="str">
            <v>HUE-ALI-STY</v>
          </cell>
          <cell r="J308" t="str">
            <v>HP Prodesk 600 G5</v>
          </cell>
          <cell r="K308">
            <v>1</v>
          </cell>
          <cell r="L308">
            <v>2020</v>
          </cell>
          <cell r="M308" t="str">
            <v>Nhanh</v>
          </cell>
          <cell r="N308" t="str">
            <v>Intel i3 9100T 3.1GHz</v>
          </cell>
          <cell r="O308" t="str">
            <v>4GB</v>
          </cell>
          <cell r="P308" t="str">
            <v>SSD 150GB</v>
          </cell>
          <cell r="Q308" t="str">
            <v>Windows 10</v>
          </cell>
        </row>
        <row r="309">
          <cell r="A309">
            <v>536790</v>
          </cell>
          <cell r="B309">
            <v>5339</v>
          </cell>
          <cell r="C309" t="str">
            <v>Bưu điện phường Dương Nỗ</v>
          </cell>
          <cell r="D309" t="str">
            <v>Bưu điện KV Thuận Hóa - Phú Xuân</v>
          </cell>
          <cell r="E309" t="str">
            <v>Bưu điện phường Dương Nỗ</v>
          </cell>
          <cell r="F309" t="str">
            <v>BĐ xã/phường</v>
          </cell>
          <cell r="H309" t="str">
            <v>Desktop</v>
          </cell>
        </row>
        <row r="310">
          <cell r="A310">
            <v>536701</v>
          </cell>
          <cell r="B310">
            <v>5339</v>
          </cell>
          <cell r="C310" t="str">
            <v>Bưu điện phường Dương Nỗ</v>
          </cell>
          <cell r="D310" t="str">
            <v>Bưu điện KV Thuận Hóa - Phú Xuân</v>
          </cell>
          <cell r="E310" t="str">
            <v>Bưu điện VHX Phú Dương</v>
          </cell>
          <cell r="F310" t="str">
            <v>Bưu điện VHX</v>
          </cell>
          <cell r="H310" t="str">
            <v>Desktop</v>
          </cell>
          <cell r="I310" t="str">
            <v>HUE-TP-PDG</v>
          </cell>
          <cell r="J310" t="str">
            <v>Dell Optiplex 5060</v>
          </cell>
          <cell r="K310">
            <v>10</v>
          </cell>
          <cell r="L310">
            <v>2019</v>
          </cell>
          <cell r="M310" t="str">
            <v>Không đáp ứng cần nâng cấp</v>
          </cell>
          <cell r="N310" t="str">
            <v>Intel i3-8100 3.20GHz</v>
          </cell>
          <cell r="O310" t="str">
            <v>4GB</v>
          </cell>
          <cell r="P310" t="str">
            <v>HDD 500GB</v>
          </cell>
          <cell r="Q310" t="str">
            <v>Microsoft Windows 10</v>
          </cell>
        </row>
        <row r="311">
          <cell r="A311">
            <v>536790</v>
          </cell>
          <cell r="B311">
            <v>5339</v>
          </cell>
          <cell r="C311" t="str">
            <v>Bưu điện phường Dương Nỗ</v>
          </cell>
          <cell r="D311" t="str">
            <v>Bưu điện KV Thuận Hóa - Phú Xuân</v>
          </cell>
          <cell r="E311" t="str">
            <v>Bưu điện VHX Phú Mậu</v>
          </cell>
          <cell r="F311" t="str">
            <v>Bưu điện VHX</v>
          </cell>
          <cell r="H311" t="str">
            <v>Desktop</v>
          </cell>
          <cell r="I311" t="str">
            <v>HUE-TP-PMU</v>
          </cell>
          <cell r="J311" t="str">
            <v>Dell Optiplex 5060</v>
          </cell>
          <cell r="K311">
            <v>10</v>
          </cell>
          <cell r="L311">
            <v>2019</v>
          </cell>
          <cell r="M311" t="str">
            <v>Không đáp ứng cần nâng cấp</v>
          </cell>
          <cell r="N311" t="str">
            <v>Intel i3-8100 3.20GHz</v>
          </cell>
          <cell r="O311" t="str">
            <v>4GB</v>
          </cell>
          <cell r="P311" t="str">
            <v>HDD 500GB</v>
          </cell>
          <cell r="Q311" t="str">
            <v>Microsoft Windows 10</v>
          </cell>
        </row>
        <row r="312">
          <cell r="A312">
            <v>536780</v>
          </cell>
          <cell r="B312">
            <v>5339</v>
          </cell>
          <cell r="C312" t="str">
            <v>Bưu điện phường Dương Nỗ</v>
          </cell>
          <cell r="D312" t="str">
            <v>Bưu điện KV Thuận Hóa - Phú Xuân</v>
          </cell>
          <cell r="E312" t="str">
            <v>Bưu điện VHX Phú Thanh</v>
          </cell>
          <cell r="F312" t="str">
            <v>Bưu điện VHX</v>
          </cell>
          <cell r="H312" t="str">
            <v>Desktop</v>
          </cell>
          <cell r="I312" t="str">
            <v>HUE-TP-PTH</v>
          </cell>
          <cell r="J312" t="str">
            <v>Lắp ráp ĐNA</v>
          </cell>
          <cell r="K312">
            <v>10</v>
          </cell>
          <cell r="L312">
            <v>2019</v>
          </cell>
          <cell r="M312" t="str">
            <v>Chậm</v>
          </cell>
          <cell r="N312" t="str">
            <v>Intel G4400 3.3GHz</v>
          </cell>
          <cell r="O312" t="str">
            <v>4GB</v>
          </cell>
          <cell r="P312" t="str">
            <v>HDD 500GB</v>
          </cell>
          <cell r="Q312" t="str">
            <v>Microsoft Windows 10</v>
          </cell>
        </row>
        <row r="313">
          <cell r="A313">
            <v>531950</v>
          </cell>
          <cell r="B313">
            <v>5340</v>
          </cell>
          <cell r="C313" t="str">
            <v>Bưu điện phường Phú Xuân</v>
          </cell>
          <cell r="D313" t="str">
            <v>Bưu điện KV Thuận Hóa - Phú Xuân</v>
          </cell>
          <cell r="E313" t="str">
            <v>Bưu điện phường Phú Xuân</v>
          </cell>
          <cell r="F313" t="str">
            <v>BĐ xã/phường</v>
          </cell>
          <cell r="G313" t="str">
            <v>KIỀU NGA</v>
          </cell>
          <cell r="H313" t="str">
            <v>Desktop</v>
          </cell>
          <cell r="I313" t="str">
            <v>HUE-PXN-GD</v>
          </cell>
          <cell r="J313" t="str">
            <v>Dell Optiplex 3020</v>
          </cell>
          <cell r="K313">
            <v>13</v>
          </cell>
          <cell r="L313">
            <v>2016</v>
          </cell>
          <cell r="M313" t="str">
            <v>Không đáp ứng cần nâng cấp</v>
          </cell>
          <cell r="N313" t="str">
            <v>Intel i3 4150T 3.1GHz</v>
          </cell>
          <cell r="O313" t="str">
            <v>4GB</v>
          </cell>
          <cell r="P313" t="str">
            <v>SSD 120GB</v>
          </cell>
          <cell r="Q313" t="str">
            <v>Microsoft Windows 10</v>
          </cell>
        </row>
        <row r="314">
          <cell r="A314">
            <v>531950</v>
          </cell>
          <cell r="B314">
            <v>5340</v>
          </cell>
          <cell r="C314" t="str">
            <v>Bưu điện phường Phú Xuân</v>
          </cell>
          <cell r="D314" t="str">
            <v>Bưu điện KV Thuận Hóa - Phú Xuân</v>
          </cell>
          <cell r="E314" t="str">
            <v>Bưu cục Huế Thành</v>
          </cell>
          <cell r="F314" t="str">
            <v>Bưu cục giao dịch cấp 3</v>
          </cell>
          <cell r="H314" t="str">
            <v>Desktop</v>
          </cell>
          <cell r="I314" t="str">
            <v>HUE-TP-HTH</v>
          </cell>
          <cell r="J314" t="str">
            <v>POSBANK APEXA II</v>
          </cell>
          <cell r="K314">
            <v>10</v>
          </cell>
          <cell r="L314">
            <v>2021</v>
          </cell>
          <cell r="M314" t="str">
            <v>Đáp ứng</v>
          </cell>
          <cell r="N314" t="str">
            <v>Intel J1900 2.42GHz</v>
          </cell>
          <cell r="O314" t="str">
            <v>4GB</v>
          </cell>
          <cell r="P314" t="str">
            <v>SSD 120GB</v>
          </cell>
          <cell r="Q314" t="str">
            <v>Microsoft Windows 10</v>
          </cell>
        </row>
        <row r="315">
          <cell r="A315">
            <v>532350</v>
          </cell>
          <cell r="B315">
            <v>5340</v>
          </cell>
          <cell r="C315" t="str">
            <v>Bưu điện phường Phú Xuân</v>
          </cell>
          <cell r="D315" t="str">
            <v>Bưu điện KV Thuận Hóa - Phú Xuân</v>
          </cell>
          <cell r="E315" t="str">
            <v>Bưu cục Tây Lộc</v>
          </cell>
          <cell r="F315" t="str">
            <v>Bưu cục giao dịch cấp 3</v>
          </cell>
          <cell r="H315" t="str">
            <v>Desktop</v>
          </cell>
          <cell r="I315" t="str">
            <v>HUE-THPX-TLC1</v>
          </cell>
          <cell r="J315" t="str">
            <v>Dell Optiplex 3020</v>
          </cell>
          <cell r="K315">
            <v>13</v>
          </cell>
          <cell r="L315">
            <v>2016</v>
          </cell>
          <cell r="M315" t="str">
            <v>Đáp ứng</v>
          </cell>
          <cell r="N315" t="str">
            <v>Intel i3 4160T 3.1GHz</v>
          </cell>
          <cell r="O315" t="str">
            <v>4GB</v>
          </cell>
          <cell r="P315" t="str">
            <v>SSD 120GB</v>
          </cell>
          <cell r="Q315" t="str">
            <v>Microsoft Windows 10</v>
          </cell>
        </row>
        <row r="316">
          <cell r="A316">
            <v>532350</v>
          </cell>
          <cell r="B316">
            <v>5340</v>
          </cell>
          <cell r="C316" t="str">
            <v>Bưu điện phường Phú Xuân</v>
          </cell>
          <cell r="D316" t="str">
            <v>Bưu điện KV Thuận Hóa - Phú Xuân</v>
          </cell>
          <cell r="E316" t="str">
            <v>Bưu cục Tây Lộc</v>
          </cell>
          <cell r="F316" t="str">
            <v>Bưu cục giao dịch cấp 3</v>
          </cell>
          <cell r="H316" t="str">
            <v>Desktop</v>
          </cell>
          <cell r="I316" t="str">
            <v>HUE-TP-TLC2</v>
          </cell>
          <cell r="J316" t="str">
            <v>POSBANK APEXA II</v>
          </cell>
          <cell r="K316">
            <v>11</v>
          </cell>
          <cell r="L316">
            <v>2021</v>
          </cell>
          <cell r="M316" t="str">
            <v>Đáp ứng</v>
          </cell>
          <cell r="N316" t="str">
            <v>Intel J1900 2.42GHz</v>
          </cell>
          <cell r="O316" t="str">
            <v>4GB</v>
          </cell>
          <cell r="P316" t="str">
            <v>SSD 120GB</v>
          </cell>
          <cell r="Q316" t="str">
            <v>Microsoft Windows 10</v>
          </cell>
        </row>
        <row r="317">
          <cell r="A317">
            <v>531600</v>
          </cell>
          <cell r="B317">
            <v>5340</v>
          </cell>
          <cell r="C317" t="str">
            <v>Bưu điện phường Phú Xuân</v>
          </cell>
          <cell r="D317" t="str">
            <v>Bưu điện KV Thuận Hóa - Phú Xuân</v>
          </cell>
          <cell r="E317" t="str">
            <v>Bưu cục Trần Hưng Đạo</v>
          </cell>
          <cell r="F317" t="str">
            <v>Bưu cục giao dịch cấp 3</v>
          </cell>
          <cell r="H317" t="str">
            <v>Desktop</v>
          </cell>
          <cell r="I317" t="str">
            <v>HUE-TP-THD1</v>
          </cell>
          <cell r="J317" t="str">
            <v>Dell Optiplex 3020</v>
          </cell>
          <cell r="K317">
            <v>11</v>
          </cell>
          <cell r="L317">
            <v>2016</v>
          </cell>
          <cell r="M317" t="str">
            <v>Không đáp ứng cần nâng cấp</v>
          </cell>
          <cell r="N317" t="str">
            <v>Intel i3 4160T 3.1GHz</v>
          </cell>
          <cell r="O317" t="str">
            <v>4GB</v>
          </cell>
          <cell r="P317" t="str">
            <v>HDD 500GB</v>
          </cell>
          <cell r="Q317" t="str">
            <v>Microsoft Windows 10</v>
          </cell>
        </row>
        <row r="318">
          <cell r="A318">
            <v>531600</v>
          </cell>
          <cell r="B318">
            <v>5340</v>
          </cell>
          <cell r="C318" t="str">
            <v>Bưu điện phường Phú Xuân</v>
          </cell>
          <cell r="D318" t="str">
            <v>Bưu điện KV Thuận Hóa - Phú Xuân</v>
          </cell>
          <cell r="E318" t="str">
            <v>Bưu cục Trần Hưng Đạo</v>
          </cell>
          <cell r="F318" t="str">
            <v>Bưu cục giao dịch cấp 3</v>
          </cell>
          <cell r="H318" t="str">
            <v>Desktop</v>
          </cell>
          <cell r="I318" t="str">
            <v>HUE-TP-THD2</v>
          </cell>
          <cell r="J318" t="str">
            <v>Dell Optiplex 5060</v>
          </cell>
          <cell r="K318">
            <v>11</v>
          </cell>
          <cell r="L318">
            <v>2019</v>
          </cell>
          <cell r="M318" t="str">
            <v>Không đáp ứng cần nâng cấp</v>
          </cell>
          <cell r="N318" t="str">
            <v>Intel i3-8100 3.20GHz</v>
          </cell>
          <cell r="O318" t="str">
            <v>4GB</v>
          </cell>
          <cell r="P318" t="str">
            <v>HDD 500GB</v>
          </cell>
          <cell r="Q318" t="str">
            <v>Microsoft Windows 10</v>
          </cell>
        </row>
        <row r="319">
          <cell r="A319">
            <v>531600</v>
          </cell>
          <cell r="B319">
            <v>5340</v>
          </cell>
          <cell r="C319" t="str">
            <v>Bưu điện phường Phú Xuân</v>
          </cell>
          <cell r="D319" t="str">
            <v>Bưu điện KV Thuận Hóa - Phú Xuân</v>
          </cell>
          <cell r="E319" t="str">
            <v>Bưu cục Trần Hưng Đạo</v>
          </cell>
          <cell r="F319" t="str">
            <v>Bưu cục giao dịch cấp 3</v>
          </cell>
          <cell r="H319" t="str">
            <v>Desktop</v>
          </cell>
          <cell r="I319" t="str">
            <v>HUE-TP-THD3</v>
          </cell>
          <cell r="J319" t="str">
            <v>Dell Optiplex 5060</v>
          </cell>
          <cell r="K319">
            <v>11</v>
          </cell>
          <cell r="L319">
            <v>2019</v>
          </cell>
          <cell r="M319" t="str">
            <v>Không đáp ứng cần nâng cấp</v>
          </cell>
          <cell r="N319" t="str">
            <v>Intel i3-8100 3.20GHz</v>
          </cell>
          <cell r="O319" t="str">
            <v>4GB</v>
          </cell>
          <cell r="P319" t="str">
            <v>HDD 500GB</v>
          </cell>
          <cell r="Q319" t="str">
            <v>Microsoft Windows 10</v>
          </cell>
        </row>
        <row r="320">
          <cell r="A320">
            <v>535319</v>
          </cell>
          <cell r="B320">
            <v>5341</v>
          </cell>
          <cell r="C320" t="str">
            <v>Bưu điện phường Hương Trà</v>
          </cell>
          <cell r="D320" t="str">
            <v>Bưu điện KV Hương Trà - Quảng Điền</v>
          </cell>
          <cell r="E320" t="str">
            <v>Bưu cục VP Bưu điện KV Hương Trà - Quảng Điền</v>
          </cell>
          <cell r="F320" t="str">
            <v>Văn phòng</v>
          </cell>
          <cell r="G320" t="str">
            <v>CQ</v>
          </cell>
          <cell r="H320" t="str">
            <v>Desktop</v>
          </cell>
          <cell r="I320" t="str">
            <v>HUE-HTA-BHXH</v>
          </cell>
          <cell r="J320" t="str">
            <v>Dell Optiplex 3020</v>
          </cell>
          <cell r="K320">
            <v>12</v>
          </cell>
          <cell r="L320">
            <v>2016</v>
          </cell>
          <cell r="M320" t="str">
            <v>Đáp ứng</v>
          </cell>
          <cell r="N320" t="str">
            <v>Intel i3 4160T 3.1GHz</v>
          </cell>
          <cell r="O320" t="str">
            <v>4GB</v>
          </cell>
          <cell r="P320" t="str">
            <v>SSD 120GB</v>
          </cell>
          <cell r="Q320" t="str">
            <v>Microsoft Windows 10</v>
          </cell>
        </row>
        <row r="321">
          <cell r="A321">
            <v>535319</v>
          </cell>
          <cell r="B321">
            <v>5341</v>
          </cell>
          <cell r="C321" t="str">
            <v>Bưu điện phường Hương Trà</v>
          </cell>
          <cell r="D321" t="str">
            <v>Bưu điện KV Hương Trà - Quảng Điền</v>
          </cell>
          <cell r="E321" t="str">
            <v>Bưu cục VP Bưu điện KV Hương Trà - Quảng Điền</v>
          </cell>
          <cell r="F321" t="str">
            <v>Văn phòng</v>
          </cell>
          <cell r="G321" t="str">
            <v>CQ</v>
          </cell>
          <cell r="H321" t="str">
            <v>Desktop</v>
          </cell>
          <cell r="I321" t="str">
            <v>HUE-HTA-THUQUY</v>
          </cell>
          <cell r="J321" t="str">
            <v>Lắp ráp ĐNA</v>
          </cell>
          <cell r="K321">
            <v>14</v>
          </cell>
          <cell r="L321">
            <v>2019</v>
          </cell>
          <cell r="M321" t="str">
            <v>Chậm</v>
          </cell>
          <cell r="N321" t="str">
            <v>Intel G620 2.6GHz</v>
          </cell>
          <cell r="O321" t="str">
            <v>4GB</v>
          </cell>
          <cell r="P321" t="str">
            <v>SSD 256GB</v>
          </cell>
          <cell r="Q321" t="str">
            <v>Microsoft Windows 10</v>
          </cell>
        </row>
        <row r="322">
          <cell r="A322">
            <v>535319</v>
          </cell>
          <cell r="B322">
            <v>5341</v>
          </cell>
          <cell r="C322" t="str">
            <v>Bưu điện phường Hương Trà</v>
          </cell>
          <cell r="D322" t="str">
            <v>Bưu điện KV Hương Trà - Quảng Điền</v>
          </cell>
          <cell r="E322" t="str">
            <v>Bưu cục VP Bưu điện KV Hương Trà - Quảng Điền</v>
          </cell>
          <cell r="F322" t="str">
            <v>Văn phòng</v>
          </cell>
          <cell r="G322" t="str">
            <v>GĐ</v>
          </cell>
          <cell r="H322" t="str">
            <v>Desktop</v>
          </cell>
          <cell r="I322" t="str">
            <v>HUE-HTA-ANTT</v>
          </cell>
          <cell r="J322" t="str">
            <v>Lắp ráp ĐNA</v>
          </cell>
          <cell r="K322">
            <v>12</v>
          </cell>
          <cell r="L322">
            <v>2020</v>
          </cell>
          <cell r="M322" t="str">
            <v>Đáp ứng</v>
          </cell>
          <cell r="N322" t="str">
            <v>Intel G6405 4.1GHz</v>
          </cell>
          <cell r="O322" t="str">
            <v>8GB</v>
          </cell>
          <cell r="P322" t="str">
            <v>SSD 120GB</v>
          </cell>
          <cell r="Q322" t="str">
            <v>Microsoft Windows 10</v>
          </cell>
        </row>
        <row r="323">
          <cell r="A323">
            <v>535319</v>
          </cell>
          <cell r="B323">
            <v>5341</v>
          </cell>
          <cell r="C323" t="str">
            <v>Bưu điện phường Hương Trà</v>
          </cell>
          <cell r="D323" t="str">
            <v>Bưu điện KV Hương Trà - Quảng Điền</v>
          </cell>
          <cell r="E323" t="str">
            <v>Bưu cục VP Bưu điện KV Hương Trà - Quảng Điền</v>
          </cell>
          <cell r="F323" t="str">
            <v>Văn phòng</v>
          </cell>
          <cell r="G323" t="str">
            <v>LÊ THỊ DIỆU HẠNH</v>
          </cell>
          <cell r="H323" t="str">
            <v>Desktop</v>
          </cell>
          <cell r="I323" t="str">
            <v>HUE-HTA-HANHLTD</v>
          </cell>
          <cell r="J323" t="str">
            <v>Lắp ráp ĐNA</v>
          </cell>
          <cell r="K323">
            <v>15</v>
          </cell>
          <cell r="L323">
            <v>2020</v>
          </cell>
          <cell r="M323" t="str">
            <v>Đáp ứng</v>
          </cell>
          <cell r="N323" t="str">
            <v>Intel G4400 3.3GHz</v>
          </cell>
          <cell r="O323" t="str">
            <v>4GB</v>
          </cell>
          <cell r="P323" t="str">
            <v>SSD 256GB</v>
          </cell>
          <cell r="Q323" t="str">
            <v>Microsoft Windows 10</v>
          </cell>
        </row>
        <row r="324">
          <cell r="A324">
            <v>535319</v>
          </cell>
          <cell r="B324">
            <v>5341</v>
          </cell>
          <cell r="C324" t="str">
            <v>Bưu điện phường Hương Trà</v>
          </cell>
          <cell r="D324" t="str">
            <v>Bưu điện KV Hương Trà - Quảng Điền</v>
          </cell>
          <cell r="E324" t="str">
            <v>Bưu cục VP Bưu điện KV Hương Trà - Quảng Điền</v>
          </cell>
          <cell r="F324" t="str">
            <v>Văn phòng</v>
          </cell>
          <cell r="G324" t="str">
            <v>THÂN THỊ THỦY TIÊN</v>
          </cell>
          <cell r="H324" t="str">
            <v>Desktop</v>
          </cell>
          <cell r="I324" t="str">
            <v>HUE-HTA-TIENTTT</v>
          </cell>
          <cell r="J324" t="str">
            <v>Lắp ráp ĐNA</v>
          </cell>
          <cell r="K324">
            <v>15</v>
          </cell>
          <cell r="L324">
            <v>2020</v>
          </cell>
          <cell r="M324" t="str">
            <v>Chậm</v>
          </cell>
          <cell r="N324" t="str">
            <v>Intel G5420 3.80GHz</v>
          </cell>
          <cell r="O324" t="str">
            <v>4GB</v>
          </cell>
          <cell r="P324" t="str">
            <v>SSD 250GB</v>
          </cell>
          <cell r="Q324" t="str">
            <v>Microsoft Windows 10</v>
          </cell>
        </row>
        <row r="325">
          <cell r="A325">
            <v>535300</v>
          </cell>
          <cell r="B325">
            <v>5341</v>
          </cell>
          <cell r="C325" t="str">
            <v>Bưu điện phường Hương Trà</v>
          </cell>
          <cell r="D325" t="str">
            <v>Bưu điện KV Hương Trà - Quảng Điền</v>
          </cell>
          <cell r="E325" t="str">
            <v>Bưu cục Hương Trà</v>
          </cell>
          <cell r="F325" t="str">
            <v>Bưu cục giao dịch cấp 2</v>
          </cell>
          <cell r="H325" t="str">
            <v>Desktop</v>
          </cell>
          <cell r="I325" t="str">
            <v>HUE-HTA-GDTT01</v>
          </cell>
          <cell r="J325" t="str">
            <v>Lắp ráp ĐNA</v>
          </cell>
          <cell r="K325">
            <v>14</v>
          </cell>
          <cell r="L325">
            <v>2020</v>
          </cell>
          <cell r="M325" t="str">
            <v>Đáp ứng</v>
          </cell>
          <cell r="N325" t="str">
            <v>Intel G4900 3.1GHz</v>
          </cell>
          <cell r="O325" t="str">
            <v>4GB</v>
          </cell>
          <cell r="P325" t="str">
            <v>SSD 120GB</v>
          </cell>
          <cell r="Q325" t="str">
            <v>Microsoft Windows 10</v>
          </cell>
        </row>
        <row r="326">
          <cell r="A326">
            <v>535300</v>
          </cell>
          <cell r="B326">
            <v>5341</v>
          </cell>
          <cell r="C326" t="str">
            <v>Bưu điện phường Hương Trà</v>
          </cell>
          <cell r="D326" t="str">
            <v>Bưu điện KV Hương Trà - Quảng Điền</v>
          </cell>
          <cell r="E326" t="str">
            <v>Bưu cục Hương Trà</v>
          </cell>
          <cell r="F326" t="str">
            <v>Bưu cục giao dịch cấp 2</v>
          </cell>
          <cell r="H326" t="str">
            <v>Desktop</v>
          </cell>
          <cell r="I326" t="str">
            <v>HUE-HTA-GDTT03</v>
          </cell>
          <cell r="J326" t="str">
            <v>Dell Optiplex 3040</v>
          </cell>
          <cell r="K326">
            <v>14</v>
          </cell>
          <cell r="L326">
            <v>2021</v>
          </cell>
          <cell r="M326" t="str">
            <v>Không đáp ứng cần nâng cấp</v>
          </cell>
          <cell r="N326" t="str">
            <v>Intel i3-6100T 3.20GHz</v>
          </cell>
          <cell r="O326" t="str">
            <v>4GB</v>
          </cell>
          <cell r="P326" t="str">
            <v>SSD 240GB</v>
          </cell>
          <cell r="Q326" t="str">
            <v>Microsoft Windows 10</v>
          </cell>
        </row>
        <row r="327">
          <cell r="A327">
            <v>535300</v>
          </cell>
          <cell r="B327">
            <v>5341</v>
          </cell>
          <cell r="C327" t="str">
            <v>Bưu điện phường Hương Trà</v>
          </cell>
          <cell r="D327" t="str">
            <v>Bưu điện KV Hương Trà - Quảng Điền</v>
          </cell>
          <cell r="E327" t="str">
            <v>Bưu cục Hương Trà</v>
          </cell>
          <cell r="F327" t="str">
            <v>Bưu cục giao dịch cấp 2</v>
          </cell>
          <cell r="H327" t="str">
            <v>Desktop</v>
          </cell>
          <cell r="I327" t="str">
            <v>HUE-HTA-GDTT02</v>
          </cell>
          <cell r="J327" t="str">
            <v>POSBANK APEXA II</v>
          </cell>
          <cell r="K327">
            <v>14</v>
          </cell>
          <cell r="L327">
            <v>2021</v>
          </cell>
          <cell r="M327" t="str">
            <v>Đáp ứng</v>
          </cell>
          <cell r="N327" t="str">
            <v>Intel J1900 2.42GHz</v>
          </cell>
          <cell r="O327" t="str">
            <v>4GB</v>
          </cell>
          <cell r="P327" t="str">
            <v>SSD 120GB</v>
          </cell>
          <cell r="Q327" t="str">
            <v>Microsoft Windows 10</v>
          </cell>
        </row>
        <row r="328">
          <cell r="A328">
            <v>535380</v>
          </cell>
          <cell r="B328">
            <v>5341</v>
          </cell>
          <cell r="C328" t="str">
            <v>Bưu điện phường Hương Trà</v>
          </cell>
          <cell r="D328" t="str">
            <v>Bưu điện KV Hương Trà - Quảng Điền</v>
          </cell>
          <cell r="E328" t="str">
            <v>VHX Hương Vân</v>
          </cell>
          <cell r="F328" t="str">
            <v>Bưu điện VHX</v>
          </cell>
          <cell r="H328" t="str">
            <v>Desktop</v>
          </cell>
          <cell r="I328" t="str">
            <v>HUE-HTA-HVAAN</v>
          </cell>
          <cell r="J328" t="str">
            <v>Dell Optiplex 5060</v>
          </cell>
          <cell r="K328">
            <v>13</v>
          </cell>
          <cell r="L328">
            <v>2020</v>
          </cell>
          <cell r="M328" t="str">
            <v>Không đáp ứng cần nâng cấp</v>
          </cell>
          <cell r="N328" t="str">
            <v>Intel i3-8100 3.20GHz</v>
          </cell>
          <cell r="O328" t="str">
            <v>4GB</v>
          </cell>
          <cell r="P328" t="str">
            <v>HDD 500GB</v>
          </cell>
          <cell r="Q328" t="str">
            <v>Microsoft Windows 11</v>
          </cell>
        </row>
        <row r="329">
          <cell r="A329">
            <v>535410</v>
          </cell>
          <cell r="B329">
            <v>5341</v>
          </cell>
          <cell r="C329" t="str">
            <v>Bưu điện phường Hương Trà</v>
          </cell>
          <cell r="D329" t="str">
            <v>Bưu điện KV Hương Trà - Quảng Điền</v>
          </cell>
          <cell r="E329" t="str">
            <v>VHX Hương Văn</v>
          </cell>
          <cell r="F329" t="str">
            <v>Bưu điện VHX</v>
          </cell>
          <cell r="H329" t="str">
            <v>Desktop</v>
          </cell>
          <cell r="I329" t="str">
            <v>HUE-HTA-HVAWN</v>
          </cell>
          <cell r="J329" t="str">
            <v>Lắp ráp ĐNA</v>
          </cell>
          <cell r="K329">
            <v>13</v>
          </cell>
          <cell r="L329">
            <v>2020</v>
          </cell>
          <cell r="M329" t="str">
            <v>Đáp ứng</v>
          </cell>
          <cell r="N329" t="str">
            <v>Intel G5905 3.5GHz</v>
          </cell>
          <cell r="O329" t="str">
            <v>4GB</v>
          </cell>
          <cell r="P329" t="str">
            <v>SSD 256GB</v>
          </cell>
          <cell r="Q329" t="str">
            <v>Microsoft Windows 10</v>
          </cell>
        </row>
        <row r="330">
          <cell r="A330">
            <v>535320</v>
          </cell>
          <cell r="B330">
            <v>5342</v>
          </cell>
          <cell r="C330" t="str">
            <v>Bưu điện phường Kim Trà</v>
          </cell>
          <cell r="D330" t="str">
            <v>Bưu điện KV Hương Trà - Quảng Điền</v>
          </cell>
          <cell r="E330" t="str">
            <v>Bưu điện phường Kim Trà</v>
          </cell>
          <cell r="F330" t="str">
            <v>BĐ xã/phường</v>
          </cell>
          <cell r="G330" t="str">
            <v>THÚY PHƯƠNG</v>
          </cell>
          <cell r="H330" t="str">
            <v>Desktop</v>
          </cell>
          <cell r="I330" t="str">
            <v>HUE-KIMTRA-GD</v>
          </cell>
          <cell r="J330" t="str">
            <v>Lắp ráp ĐNA</v>
          </cell>
          <cell r="K330">
            <v>13</v>
          </cell>
          <cell r="L330">
            <v>2020</v>
          </cell>
          <cell r="M330" t="str">
            <v>Đáp ứng</v>
          </cell>
          <cell r="N330" t="str">
            <v>Intel G5920 3.5Ghz</v>
          </cell>
          <cell r="O330" t="str">
            <v>4GB</v>
          </cell>
          <cell r="P330" t="str">
            <v>SSD 120GB</v>
          </cell>
          <cell r="Q330" t="str">
            <v>Microsoft Windows 10</v>
          </cell>
        </row>
        <row r="331">
          <cell r="A331">
            <v>535511</v>
          </cell>
          <cell r="B331">
            <v>5342</v>
          </cell>
          <cell r="C331" t="str">
            <v>Bưu điện phường Kim Trà</v>
          </cell>
          <cell r="D331" t="str">
            <v>Bưu điện KV Hương Trà - Quảng Điền</v>
          </cell>
          <cell r="E331" t="str">
            <v>VHX Hương Chữ</v>
          </cell>
          <cell r="F331" t="str">
            <v>Bưu điện VHX</v>
          </cell>
          <cell r="H331" t="str">
            <v>Desktop</v>
          </cell>
          <cell r="I331" t="str">
            <v>HUE-HTA-HCU</v>
          </cell>
          <cell r="J331" t="str">
            <v>Dell Optiplex 5060</v>
          </cell>
          <cell r="K331">
            <v>11</v>
          </cell>
          <cell r="L331">
            <v>2020</v>
          </cell>
          <cell r="M331" t="str">
            <v>Không đáp ứng cần nâng cấp</v>
          </cell>
          <cell r="N331" t="str">
            <v>Intel i3-8100 3.20GHz</v>
          </cell>
          <cell r="O331" t="str">
            <v>4GB</v>
          </cell>
          <cell r="P331" t="str">
            <v>HDD 500GB</v>
          </cell>
          <cell r="Q331" t="str">
            <v>Microsoft Windows 10</v>
          </cell>
        </row>
        <row r="332">
          <cell r="A332">
            <v>535320</v>
          </cell>
          <cell r="B332">
            <v>5342</v>
          </cell>
          <cell r="C332" t="str">
            <v>Bưu điện phường Kim Trà</v>
          </cell>
          <cell r="D332" t="str">
            <v>Bưu điện KV Hương Trà - Quảng Điền</v>
          </cell>
          <cell r="E332" t="str">
            <v>VHX Hương Toàn</v>
          </cell>
          <cell r="F332" t="str">
            <v>Bưu điện VHX</v>
          </cell>
          <cell r="H332" t="str">
            <v>Desktop</v>
          </cell>
          <cell r="I332" t="str">
            <v>HUE-HTA-HTN</v>
          </cell>
          <cell r="J332" t="str">
            <v>Lắp ráp ĐNA</v>
          </cell>
          <cell r="K332">
            <v>11</v>
          </cell>
          <cell r="L332">
            <v>2020</v>
          </cell>
          <cell r="M332" t="str">
            <v>Đáp ứng</v>
          </cell>
          <cell r="N332" t="str">
            <v>Intel i3 7100 3.9GHz</v>
          </cell>
          <cell r="O332" t="str">
            <v>4GB</v>
          </cell>
          <cell r="P332" t="str">
            <v>SSD 120GB</v>
          </cell>
          <cell r="Q332" t="str">
            <v>Microsoft Windows 10</v>
          </cell>
        </row>
        <row r="333">
          <cell r="A333">
            <v>535440</v>
          </cell>
          <cell r="B333">
            <v>5342</v>
          </cell>
          <cell r="C333" t="str">
            <v>Bưu điện phường Kim Trà</v>
          </cell>
          <cell r="D333" t="str">
            <v>Bưu điện KV Hương Trà - Quảng Điền</v>
          </cell>
          <cell r="E333" t="str">
            <v>VHX Hương Xuân</v>
          </cell>
          <cell r="F333" t="str">
            <v>Bưu điện VHX</v>
          </cell>
          <cell r="H333" t="str">
            <v>Desktop</v>
          </cell>
          <cell r="I333" t="str">
            <v>HUE-HTA-HXN</v>
          </cell>
          <cell r="J333" t="str">
            <v>Dell Optiplex 5060</v>
          </cell>
          <cell r="K333">
            <v>11</v>
          </cell>
          <cell r="L333">
            <v>2020</v>
          </cell>
          <cell r="M333" t="str">
            <v>Đáp ứng</v>
          </cell>
          <cell r="N333" t="str">
            <v>Intel i3-8100 3.20GHz</v>
          </cell>
          <cell r="O333" t="str">
            <v>4GB</v>
          </cell>
          <cell r="P333" t="str">
            <v>SSD 256GB</v>
          </cell>
          <cell r="Q333" t="str">
            <v>Microsoft Windows 11</v>
          </cell>
        </row>
        <row r="334">
          <cell r="A334">
            <v>535470</v>
          </cell>
          <cell r="B334">
            <v>5372</v>
          </cell>
          <cell r="C334" t="str">
            <v>BCVH Hương Trà</v>
          </cell>
          <cell r="D334" t="str">
            <v>Trung tâm Vận hành</v>
          </cell>
          <cell r="E334" t="str">
            <v>BCVH Hương Trà</v>
          </cell>
          <cell r="F334" t="str">
            <v>Bưu cục phát</v>
          </cell>
          <cell r="H334" t="str">
            <v>Desktop</v>
          </cell>
          <cell r="I334" t="str">
            <v>HUE-VHHT-01</v>
          </cell>
          <cell r="J334" t="str">
            <v xml:space="preserve">Lắp ráp ĐNA </v>
          </cell>
          <cell r="K334">
            <v>11</v>
          </cell>
          <cell r="L334">
            <v>2022</v>
          </cell>
          <cell r="M334" t="str">
            <v>Nhanh</v>
          </cell>
          <cell r="N334" t="str">
            <v>Intel i5-10400 2.9GHz</v>
          </cell>
          <cell r="O334" t="str">
            <v>8GB</v>
          </cell>
          <cell r="P334" t="str">
            <v>SSD 120GB</v>
          </cell>
          <cell r="Q334" t="str">
            <v>Microsoft Windows 10</v>
          </cell>
        </row>
        <row r="335">
          <cell r="A335">
            <v>534940</v>
          </cell>
          <cell r="B335">
            <v>5372</v>
          </cell>
          <cell r="C335" t="str">
            <v>BCVH Hương Trà</v>
          </cell>
          <cell r="D335" t="str">
            <v>Trung tâm Vận hành</v>
          </cell>
          <cell r="E335" t="str">
            <v>Bưu cục KT huyện Phong Điền</v>
          </cell>
          <cell r="F335" t="str">
            <v>Bưu cục khai thác huyện</v>
          </cell>
          <cell r="G335" t="str">
            <v>ServerBCCP</v>
          </cell>
          <cell r="H335" t="str">
            <v>Desktop</v>
          </cell>
          <cell r="I335" t="str">
            <v>HUE-PDN-BCCP</v>
          </cell>
          <cell r="J335" t="str">
            <v>Lắp ráp ĐNA</v>
          </cell>
          <cell r="K335">
            <v>12</v>
          </cell>
          <cell r="L335">
            <v>2018</v>
          </cell>
          <cell r="M335" t="str">
            <v>Đáp ứng</v>
          </cell>
          <cell r="N335" t="str">
            <v>Intel i3 7100 3.9GHz</v>
          </cell>
          <cell r="O335" t="str">
            <v>8GB</v>
          </cell>
          <cell r="P335" t="str">
            <v>HDD 500GB</v>
          </cell>
          <cell r="Q335" t="str">
            <v>Microsoft Windows 10</v>
          </cell>
        </row>
        <row r="336">
          <cell r="A336">
            <v>535470</v>
          </cell>
          <cell r="B336">
            <v>5372</v>
          </cell>
          <cell r="C336" t="str">
            <v>BCVH Hương Trà</v>
          </cell>
          <cell r="D336" t="str">
            <v>Trung tâm Vận hành</v>
          </cell>
          <cell r="E336" t="str">
            <v>BCVH Hương Trà</v>
          </cell>
          <cell r="F336" t="str">
            <v>Bưu cục phát</v>
          </cell>
          <cell r="G336" t="str">
            <v>Trần Thuận</v>
          </cell>
          <cell r="H336" t="str">
            <v>Desktop</v>
          </cell>
          <cell r="I336" t="str">
            <v>HUE-KTNV-THUAN</v>
          </cell>
          <cell r="J336" t="str">
            <v>Lắp ráp ĐNA</v>
          </cell>
          <cell r="K336">
            <v>14</v>
          </cell>
          <cell r="L336">
            <v>2021</v>
          </cell>
          <cell r="M336" t="str">
            <v>Đáp ứng</v>
          </cell>
          <cell r="N336" t="str">
            <v>Intel G6405 4.1GHz</v>
          </cell>
          <cell r="O336" t="str">
            <v>8GB</v>
          </cell>
          <cell r="P336" t="str">
            <v>SSD 120GB</v>
          </cell>
          <cell r="Q336" t="str">
            <v>Microsoft Windows 10</v>
          </cell>
        </row>
        <row r="337">
          <cell r="A337">
            <v>535470</v>
          </cell>
          <cell r="B337">
            <v>5372</v>
          </cell>
          <cell r="C337" t="str">
            <v>BCVH Hương Trà</v>
          </cell>
          <cell r="D337" t="str">
            <v>Trung tâm Vận hành</v>
          </cell>
          <cell r="E337" t="str">
            <v>BCVH Hương Trà</v>
          </cell>
          <cell r="F337" t="str">
            <v>Bưu cục phát</v>
          </cell>
          <cell r="H337" t="str">
            <v>Desktop</v>
          </cell>
          <cell r="I337" t="str">
            <v>HUE-VHHT-03</v>
          </cell>
          <cell r="J337" t="str">
            <v>Dell Optiplex 5060</v>
          </cell>
          <cell r="K337">
            <v>11</v>
          </cell>
          <cell r="L337">
            <v>2021</v>
          </cell>
          <cell r="M337" t="str">
            <v>Đáp ứng</v>
          </cell>
          <cell r="N337" t="str">
            <v>Intel i3-8100 3.20GHz</v>
          </cell>
          <cell r="O337" t="str">
            <v>4GB</v>
          </cell>
          <cell r="P337" t="str">
            <v>SSD 500GB</v>
          </cell>
          <cell r="Q337" t="str">
            <v>Microsoft Windows 11</v>
          </cell>
        </row>
        <row r="338">
          <cell r="A338">
            <v>535360</v>
          </cell>
          <cell r="B338">
            <v>5372</v>
          </cell>
          <cell r="C338" t="str">
            <v>BCVH Hương Trà</v>
          </cell>
          <cell r="D338" t="str">
            <v>Trung tâm Vận hành</v>
          </cell>
          <cell r="E338" t="str">
            <v>Bưu cục KT thị xã Hương Trà</v>
          </cell>
          <cell r="F338" t="str">
            <v>Bưu cục khai thác huyện</v>
          </cell>
          <cell r="H338" t="str">
            <v>Desktop</v>
          </cell>
          <cell r="I338" t="str">
            <v>HUE-HTA-CSKH</v>
          </cell>
          <cell r="J338" t="str">
            <v>Dell Optiplex 5060</v>
          </cell>
          <cell r="K338">
            <v>12</v>
          </cell>
          <cell r="L338">
            <v>2020</v>
          </cell>
          <cell r="M338" t="str">
            <v>Đáp ứng</v>
          </cell>
          <cell r="N338" t="str">
            <v>Intel i3-8100 3.20GHz</v>
          </cell>
          <cell r="O338" t="str">
            <v>4GB</v>
          </cell>
          <cell r="P338" t="str">
            <v>SSD 500GB</v>
          </cell>
          <cell r="Q338" t="str">
            <v>Microsoft Windows 10</v>
          </cell>
        </row>
        <row r="339">
          <cell r="A339">
            <v>535470</v>
          </cell>
          <cell r="B339">
            <v>5372</v>
          </cell>
          <cell r="C339" t="str">
            <v>BCVH Hương Trà</v>
          </cell>
          <cell r="D339" t="str">
            <v>Trung tâm Vận hành</v>
          </cell>
          <cell r="E339" t="str">
            <v>BCVH Hương Trà</v>
          </cell>
          <cell r="F339" t="str">
            <v>Bưu cục phát</v>
          </cell>
          <cell r="H339" t="str">
            <v>Desktop</v>
          </cell>
          <cell r="I339" t="str">
            <v>HUE-VHHT-04</v>
          </cell>
          <cell r="J339" t="str">
            <v>Dell Optiplex 5060</v>
          </cell>
          <cell r="K339">
            <v>11</v>
          </cell>
          <cell r="L339">
            <v>2020</v>
          </cell>
          <cell r="M339" t="str">
            <v>Đáp ứng</v>
          </cell>
          <cell r="N339" t="str">
            <v>Intel i3-8100 3.20GHz</v>
          </cell>
          <cell r="O339" t="str">
            <v>4GB</v>
          </cell>
          <cell r="P339" t="str">
            <v>SSD 256GB</v>
          </cell>
          <cell r="Q339" t="str">
            <v>Microsoft Windows 11</v>
          </cell>
        </row>
        <row r="340">
          <cell r="A340">
            <v>534908</v>
          </cell>
          <cell r="B340">
            <v>5372</v>
          </cell>
          <cell r="C340" t="str">
            <v>BCVH Hương Trà</v>
          </cell>
          <cell r="D340" t="str">
            <v>Bưu điện KV Phong Điền</v>
          </cell>
          <cell r="E340" t="str">
            <v>Bưu cục TMĐT Phong Điền</v>
          </cell>
          <cell r="F340" t="str">
            <v>Bưu cục TMĐT</v>
          </cell>
          <cell r="H340" t="str">
            <v>Desktop</v>
          </cell>
        </row>
        <row r="341">
          <cell r="A341">
            <v>535470</v>
          </cell>
          <cell r="B341">
            <v>5372</v>
          </cell>
          <cell r="C341" t="str">
            <v>BCVH Hương Trà</v>
          </cell>
          <cell r="D341" t="str">
            <v>Trung tâm Vận hành</v>
          </cell>
          <cell r="E341" t="str">
            <v>BCVH Hương Trà</v>
          </cell>
          <cell r="F341" t="str">
            <v>Bưu cục phát</v>
          </cell>
          <cell r="H341" t="str">
            <v>Desktop</v>
          </cell>
          <cell r="I341" t="str">
            <v>HUE-VHHT-02</v>
          </cell>
          <cell r="J341" t="str">
            <v>Dell Optiplex 3020</v>
          </cell>
          <cell r="K341">
            <v>11</v>
          </cell>
          <cell r="L341">
            <v>2016</v>
          </cell>
          <cell r="M341" t="str">
            <v>Đáp ứng</v>
          </cell>
          <cell r="N341" t="str">
            <v>Intel i3 4160T 3.1GHz</v>
          </cell>
          <cell r="O341" t="str">
            <v>4GB</v>
          </cell>
          <cell r="P341" t="str">
            <v>SSD 250GB</v>
          </cell>
          <cell r="Q341" t="str">
            <v>Microsoft Windows 10</v>
          </cell>
        </row>
        <row r="342">
          <cell r="A342">
            <v>536250</v>
          </cell>
          <cell r="B342">
            <v>5373</v>
          </cell>
          <cell r="C342" t="str">
            <v>BCVH Hương Thủy</v>
          </cell>
          <cell r="D342" t="str">
            <v>Trung tâm Vận hành</v>
          </cell>
          <cell r="E342" t="str">
            <v>TTVH</v>
          </cell>
          <cell r="F342" t="str">
            <v>Bưu cục phát</v>
          </cell>
          <cell r="G342" t="str">
            <v>Phát</v>
          </cell>
          <cell r="H342" t="str">
            <v>Desktop</v>
          </cell>
          <cell r="I342" t="str">
            <v>HUE-KTNV-NHUTKH</v>
          </cell>
          <cell r="J342" t="str">
            <v>HP</v>
          </cell>
          <cell r="K342">
            <v>15</v>
          </cell>
          <cell r="L342">
            <v>2019</v>
          </cell>
          <cell r="M342" t="str">
            <v>Đáp ứng</v>
          </cell>
          <cell r="N342" t="str">
            <v>Intel G3240 3.1GHz</v>
          </cell>
          <cell r="O342" t="str">
            <v>4GB</v>
          </cell>
          <cell r="P342" t="str">
            <v>SSD 120GB</v>
          </cell>
          <cell r="Q342" t="str">
            <v>Microsoft Windows 10</v>
          </cell>
        </row>
        <row r="343">
          <cell r="A343">
            <v>536130</v>
          </cell>
          <cell r="B343">
            <v>5373</v>
          </cell>
          <cell r="C343" t="str">
            <v>BCVH Hương Thủy</v>
          </cell>
          <cell r="D343" t="str">
            <v>Trung tâm Vận hành</v>
          </cell>
          <cell r="E343" t="str">
            <v>Bưu cục KT thị xã Hương Thủy</v>
          </cell>
          <cell r="F343" t="str">
            <v>Bưu cục khai thác huyện</v>
          </cell>
          <cell r="H343" t="str">
            <v>Desktop</v>
          </cell>
          <cell r="I343" t="str">
            <v>HUE-HTY-BCP</v>
          </cell>
          <cell r="J343" t="str">
            <v>Dell Optiplex 3040</v>
          </cell>
          <cell r="K343">
            <v>11</v>
          </cell>
          <cell r="L343">
            <v>2019</v>
          </cell>
          <cell r="M343" t="str">
            <v>Đáp ứng</v>
          </cell>
          <cell r="N343" t="str">
            <v>Intel i3 6100T 3.40 GHz</v>
          </cell>
          <cell r="O343" t="str">
            <v>4GB</v>
          </cell>
          <cell r="P343" t="str">
            <v>SSD 120GB</v>
          </cell>
          <cell r="Q343" t="str">
            <v>Microsoft Windows 10</v>
          </cell>
        </row>
        <row r="344">
          <cell r="A344">
            <v>536250</v>
          </cell>
          <cell r="B344">
            <v>5373</v>
          </cell>
          <cell r="C344" t="str">
            <v>BCVH Hương Thủy</v>
          </cell>
          <cell r="D344" t="str">
            <v>Trung tâm Vận hành</v>
          </cell>
          <cell r="E344" t="str">
            <v>BCVH Hương Thủy</v>
          </cell>
          <cell r="F344" t="str">
            <v>Bưu cục phát</v>
          </cell>
          <cell r="H344" t="str">
            <v>Desktop</v>
          </cell>
          <cell r="I344" t="str">
            <v>HUE-VHHTY-01</v>
          </cell>
          <cell r="J344" t="str">
            <v>Dell Optiplex 5060</v>
          </cell>
          <cell r="K344">
            <v>12</v>
          </cell>
          <cell r="L344">
            <v>2019</v>
          </cell>
          <cell r="M344" t="str">
            <v>Đáp ứng</v>
          </cell>
          <cell r="N344" t="str">
            <v>Intel i3-8100T 3.20GHz</v>
          </cell>
          <cell r="O344" t="str">
            <v>4GB</v>
          </cell>
          <cell r="P344" t="str">
            <v>SSD 120GB</v>
          </cell>
          <cell r="Q344" t="str">
            <v>Microsoft Windows 11</v>
          </cell>
        </row>
        <row r="345">
          <cell r="A345">
            <v>536250</v>
          </cell>
          <cell r="B345">
            <v>5373</v>
          </cell>
          <cell r="C345" t="str">
            <v>BCVH Hương Thủy</v>
          </cell>
          <cell r="D345" t="str">
            <v>Trung tâm Vận hành</v>
          </cell>
          <cell r="E345" t="str">
            <v>BCVH Hương Thủy</v>
          </cell>
          <cell r="F345" t="str">
            <v>Bưu cục phát</v>
          </cell>
          <cell r="H345" t="str">
            <v>Desktop</v>
          </cell>
          <cell r="I345" t="str">
            <v>HUE-VHHTY-02</v>
          </cell>
          <cell r="J345" t="str">
            <v>Dell Optiplex 3040</v>
          </cell>
          <cell r="K345">
            <v>12</v>
          </cell>
          <cell r="L345">
            <v>2019</v>
          </cell>
          <cell r="M345" t="str">
            <v>Đáp ứng</v>
          </cell>
          <cell r="N345" t="str">
            <v>Intel i3-6100T</v>
          </cell>
          <cell r="O345" t="str">
            <v>4GB</v>
          </cell>
          <cell r="P345" t="str">
            <v>SSD 120GB</v>
          </cell>
          <cell r="Q345" t="str">
            <v>Microsoft Windows 10</v>
          </cell>
        </row>
        <row r="346">
          <cell r="A346">
            <v>536250</v>
          </cell>
          <cell r="B346">
            <v>5373</v>
          </cell>
          <cell r="C346" t="str">
            <v>BCVH Hương Thủy</v>
          </cell>
          <cell r="D346" t="str">
            <v>Trung tâm Vận hành</v>
          </cell>
          <cell r="E346" t="str">
            <v>Bưu cục phát Hương Thủy</v>
          </cell>
          <cell r="F346" t="str">
            <v>Bưu cục phát</v>
          </cell>
          <cell r="H346" t="str">
            <v>Desktop</v>
          </cell>
          <cell r="I346" t="str">
            <v>HUE-VHHTY-03</v>
          </cell>
          <cell r="J346" t="str">
            <v>Dell Optiplex 5060</v>
          </cell>
          <cell r="K346">
            <v>12</v>
          </cell>
          <cell r="L346">
            <v>2019</v>
          </cell>
          <cell r="M346" t="str">
            <v>Đáp ứng</v>
          </cell>
          <cell r="N346" t="str">
            <v>Intel i3-8100 3.20GHz</v>
          </cell>
          <cell r="O346" t="str">
            <v>4GB</v>
          </cell>
          <cell r="P346" t="str">
            <v>SSD 250GB</v>
          </cell>
          <cell r="Q346" t="str">
            <v>Microsoft Windows 11</v>
          </cell>
        </row>
        <row r="347">
          <cell r="A347">
            <v>536840</v>
          </cell>
          <cell r="B347">
            <v>5373</v>
          </cell>
          <cell r="C347" t="str">
            <v>BCVH Hương Thủy</v>
          </cell>
          <cell r="D347" t="str">
            <v>Trung tâm Vận hành</v>
          </cell>
          <cell r="E347" t="str">
            <v>Bưu cục phát Phú Vang</v>
          </cell>
          <cell r="F347" t="str">
            <v>Bưu cục phát</v>
          </cell>
          <cell r="H347" t="str">
            <v>Desktop</v>
          </cell>
          <cell r="I347" t="str">
            <v>HUE-PVG-BCCP</v>
          </cell>
          <cell r="J347" t="str">
            <v>HP Prodesk 600 G5</v>
          </cell>
          <cell r="K347">
            <v>12</v>
          </cell>
          <cell r="L347">
            <v>2019</v>
          </cell>
          <cell r="M347" t="str">
            <v>Đáp ứng</v>
          </cell>
          <cell r="N347" t="str">
            <v>Intel i3 9100T 3.1GHz</v>
          </cell>
          <cell r="O347" t="str">
            <v>4GB</v>
          </cell>
          <cell r="P347" t="str">
            <v>SSD 250GB</v>
          </cell>
          <cell r="Q347" t="str">
            <v>Microsoft Windows 10</v>
          </cell>
        </row>
        <row r="348">
          <cell r="A348">
            <v>537015</v>
          </cell>
          <cell r="B348">
            <v>5374</v>
          </cell>
          <cell r="C348" t="str">
            <v>BCVH Thuận An</v>
          </cell>
          <cell r="D348" t="str">
            <v>Trung tâm Vận hành</v>
          </cell>
          <cell r="E348" t="str">
            <v>Bưu cục phát Thuận An</v>
          </cell>
          <cell r="F348" t="str">
            <v>Bưu cục phát</v>
          </cell>
          <cell r="H348" t="str">
            <v>Desktop</v>
          </cell>
          <cell r="I348" t="str">
            <v>HUE-KTVC-TAN</v>
          </cell>
          <cell r="J348" t="str">
            <v>Dell Optiplex 3020</v>
          </cell>
          <cell r="K348">
            <v>12</v>
          </cell>
          <cell r="L348">
            <v>2016</v>
          </cell>
          <cell r="M348" t="str">
            <v>Không đáp ứng cần nâng cấp</v>
          </cell>
          <cell r="N348" t="str">
            <v>Intel i3 4160T 3.1GHz</v>
          </cell>
          <cell r="O348" t="str">
            <v>4GB</v>
          </cell>
          <cell r="P348" t="str">
            <v>HDD 500GB</v>
          </cell>
          <cell r="Q348" t="str">
            <v>Microsoft Windows 10</v>
          </cell>
        </row>
        <row r="349">
          <cell r="A349">
            <v>537015</v>
          </cell>
          <cell r="B349">
            <v>5374</v>
          </cell>
          <cell r="C349" t="str">
            <v>BCVH Thuận An</v>
          </cell>
          <cell r="D349" t="str">
            <v>Trung tâm Vận hành</v>
          </cell>
          <cell r="E349" t="str">
            <v>Bưu cục phát Thuận An</v>
          </cell>
          <cell r="F349" t="str">
            <v>Bưu cục phát</v>
          </cell>
          <cell r="H349" t="str">
            <v>Desktop</v>
          </cell>
          <cell r="I349" t="str">
            <v>HUE-KTVC-TAN1</v>
          </cell>
          <cell r="J349" t="str">
            <v>Dell Optiplex 3020</v>
          </cell>
          <cell r="K349">
            <v>13</v>
          </cell>
          <cell r="L349">
            <v>2016</v>
          </cell>
          <cell r="M349" t="str">
            <v>Không đáp ứng cần nâng cấp</v>
          </cell>
          <cell r="N349" t="str">
            <v>Intel i3 4160T 3.1GHz</v>
          </cell>
          <cell r="O349" t="str">
            <v>4GB</v>
          </cell>
          <cell r="P349" t="str">
            <v>HDD 500GB</v>
          </cell>
          <cell r="Q349" t="str">
            <v>Microsoft Windows 10</v>
          </cell>
        </row>
        <row r="350">
          <cell r="A350">
            <v>531120</v>
          </cell>
          <cell r="B350">
            <v>5375</v>
          </cell>
          <cell r="C350" t="str">
            <v>BCVH Thuận Hóa</v>
          </cell>
          <cell r="D350" t="str">
            <v>Bưu điện KV Thuận Hóa - Phú Xuân</v>
          </cell>
          <cell r="E350" t="str">
            <v>Bưu cục Khách hàng lớn</v>
          </cell>
          <cell r="F350" t="str">
            <v>Bưu cục KHL</v>
          </cell>
          <cell r="G350" t="str">
            <v>Quỳnh Anh</v>
          </cell>
          <cell r="H350" t="str">
            <v>Desktop</v>
          </cell>
          <cell r="I350" t="str">
            <v>HUE-TP-ANHHNQ</v>
          </cell>
          <cell r="J350" t="str">
            <v>Dell Optiplex 3020</v>
          </cell>
          <cell r="K350">
            <v>13</v>
          </cell>
          <cell r="L350">
            <v>2016</v>
          </cell>
          <cell r="M350" t="str">
            <v>Không đáp ứng cần nâng cấp</v>
          </cell>
          <cell r="N350" t="str">
            <v>Intel i3 4150T 3.1GHz</v>
          </cell>
          <cell r="O350" t="str">
            <v>8GB</v>
          </cell>
          <cell r="P350" t="str">
            <v>SSD 120GB</v>
          </cell>
          <cell r="Q350" t="str">
            <v>Microsoft Windows 10</v>
          </cell>
        </row>
        <row r="351">
          <cell r="A351">
            <v>531120</v>
          </cell>
          <cell r="B351">
            <v>5375</v>
          </cell>
          <cell r="C351" t="str">
            <v>BCVH Thuận Hóa</v>
          </cell>
          <cell r="D351" t="str">
            <v>Bưu điện KV Thuận Hóa - Phú Xuân</v>
          </cell>
          <cell r="E351" t="str">
            <v>Bưu cục Khách hàng lớn</v>
          </cell>
          <cell r="F351" t="str">
            <v>Bưu cục KHL</v>
          </cell>
          <cell r="G351" t="str">
            <v>HUỲNH THU LÂN</v>
          </cell>
          <cell r="H351" t="str">
            <v>Desktop</v>
          </cell>
          <cell r="I351" t="str">
            <v>HUE-TP-LANHT</v>
          </cell>
          <cell r="J351" t="str">
            <v>Dell Optiplex 3050</v>
          </cell>
          <cell r="K351">
            <v>12</v>
          </cell>
          <cell r="L351">
            <v>2018</v>
          </cell>
          <cell r="M351" t="str">
            <v>Không đáp ứng cần nâng cấp</v>
          </cell>
          <cell r="N351" t="str">
            <v>Intel i3 7100T 3.4GHz</v>
          </cell>
          <cell r="O351" t="str">
            <v>4GB</v>
          </cell>
          <cell r="P351" t="str">
            <v>SSD 250GB</v>
          </cell>
          <cell r="Q351" t="str">
            <v>Microsoft Windows 10</v>
          </cell>
        </row>
        <row r="352">
          <cell r="A352">
            <v>531120</v>
          </cell>
          <cell r="B352">
            <v>5375</v>
          </cell>
          <cell r="C352" t="str">
            <v>BCVH Thuận Hóa</v>
          </cell>
          <cell r="D352" t="str">
            <v>Bưu điện KV Thuận Hóa - Phú Xuân</v>
          </cell>
          <cell r="E352" t="str">
            <v>Bưu cục Khách hàng lớn</v>
          </cell>
          <cell r="F352" t="str">
            <v>Bưu cục KHL</v>
          </cell>
          <cell r="G352" t="str">
            <v>Kinh doanh</v>
          </cell>
          <cell r="H352" t="str">
            <v>Desktop</v>
          </cell>
          <cell r="I352" t="str">
            <v>HUE-TTVH-CHAUTB</v>
          </cell>
          <cell r="J352" t="str">
            <v>Lắp ráp ĐNA</v>
          </cell>
          <cell r="K352">
            <v>15</v>
          </cell>
          <cell r="L352">
            <v>2019</v>
          </cell>
          <cell r="M352" t="str">
            <v>Chậm</v>
          </cell>
          <cell r="N352" t="str">
            <v>Intel G4400 3.3GHz</v>
          </cell>
          <cell r="O352" t="str">
            <v>4GB</v>
          </cell>
          <cell r="P352" t="str">
            <v>SSD 120GB</v>
          </cell>
          <cell r="Q352" t="str">
            <v>Microsoft Windows 10</v>
          </cell>
        </row>
        <row r="353">
          <cell r="A353">
            <v>533140</v>
          </cell>
          <cell r="B353">
            <v>5375</v>
          </cell>
          <cell r="C353" t="str">
            <v>BCVH Thuận Hóa</v>
          </cell>
          <cell r="D353" t="str">
            <v>Trung tâm Vận hành</v>
          </cell>
          <cell r="E353" t="str">
            <v>BCVH Thuận Hóa</v>
          </cell>
          <cell r="F353" t="str">
            <v>Bưu cục phát</v>
          </cell>
          <cell r="H353" t="str">
            <v>Desktop</v>
          </cell>
          <cell r="I353" t="str">
            <v>HUE-TTVH-THA01</v>
          </cell>
          <cell r="J353" t="str">
            <v>Dell Optiplex 3020</v>
          </cell>
          <cell r="K353">
            <v>14</v>
          </cell>
          <cell r="L353">
            <v>2016</v>
          </cell>
          <cell r="M353" t="str">
            <v>Không đáp ứng cần nâng cấp</v>
          </cell>
          <cell r="N353" t="str">
            <v>Intel i3 4160T 3.1GHz</v>
          </cell>
          <cell r="O353" t="str">
            <v>4GB</v>
          </cell>
          <cell r="P353" t="str">
            <v>HDD 500GB</v>
          </cell>
          <cell r="Q353" t="str">
            <v>Microsoft Windows 10</v>
          </cell>
        </row>
        <row r="354">
          <cell r="A354">
            <v>533140</v>
          </cell>
          <cell r="B354">
            <v>5375</v>
          </cell>
          <cell r="C354" t="str">
            <v>BCVH Thuận Hóa</v>
          </cell>
          <cell r="D354" t="str">
            <v>Trung tâm Vận hành</v>
          </cell>
          <cell r="E354" t="str">
            <v>BCVH Thuận Hóa</v>
          </cell>
          <cell r="F354" t="str">
            <v>Bưu cục phát</v>
          </cell>
          <cell r="G354" t="str">
            <v>PHBC</v>
          </cell>
          <cell r="H354" t="str">
            <v>Desktop</v>
          </cell>
          <cell r="I354" t="str">
            <v>HUE-TTVH-THA02</v>
          </cell>
          <cell r="J354" t="str">
            <v>Dell Optiplex 3020</v>
          </cell>
          <cell r="K354">
            <v>14</v>
          </cell>
          <cell r="L354">
            <v>2016</v>
          </cell>
          <cell r="M354" t="str">
            <v>Đáp ứng</v>
          </cell>
          <cell r="N354" t="str">
            <v>Intel i3 4160T 3.1GHz</v>
          </cell>
          <cell r="O354" t="str">
            <v>4GB</v>
          </cell>
          <cell r="P354" t="str">
            <v>SSD 120GB</v>
          </cell>
          <cell r="Q354" t="str">
            <v>Microsoft Windows 10</v>
          </cell>
        </row>
        <row r="355">
          <cell r="A355">
            <v>533140</v>
          </cell>
          <cell r="B355">
            <v>5375</v>
          </cell>
          <cell r="C355" t="str">
            <v>BCVH Thuận Hóa</v>
          </cell>
          <cell r="D355" t="str">
            <v>Trung tâm Vận hành</v>
          </cell>
          <cell r="E355" t="str">
            <v>BCVH Thuận Hóa</v>
          </cell>
          <cell r="F355" t="str">
            <v>Bưu cục phát</v>
          </cell>
          <cell r="H355" t="str">
            <v>Desktop</v>
          </cell>
          <cell r="I355" t="str">
            <v>HUE-TTVH-THA03</v>
          </cell>
          <cell r="J355" t="str">
            <v>Dell Optiplex 3020</v>
          </cell>
          <cell r="K355">
            <v>0</v>
          </cell>
          <cell r="L355">
            <v>2016</v>
          </cell>
          <cell r="M355" t="str">
            <v>Đáp ứng</v>
          </cell>
          <cell r="N355" t="str">
            <v>Intel i3 4160T 3.1GHz</v>
          </cell>
          <cell r="O355" t="str">
            <v>4GB</v>
          </cell>
          <cell r="P355" t="str">
            <v>SSD 120GB</v>
          </cell>
          <cell r="Q355" t="str">
            <v>Microsoft Windows 10</v>
          </cell>
        </row>
        <row r="356">
          <cell r="A356">
            <v>533140</v>
          </cell>
          <cell r="B356">
            <v>5375</v>
          </cell>
          <cell r="C356" t="str">
            <v>BCVH Thuận Hóa</v>
          </cell>
          <cell r="D356" t="str">
            <v>Trung tâm Vận hành</v>
          </cell>
          <cell r="E356" t="str">
            <v>BCVH Thuận Hóa</v>
          </cell>
          <cell r="F356" t="str">
            <v>Bưu cục phát</v>
          </cell>
          <cell r="H356" t="str">
            <v>Desktop</v>
          </cell>
          <cell r="I356" t="str">
            <v>HUE-TTVH-THA04</v>
          </cell>
          <cell r="J356" t="str">
            <v>Dell Optiplex 3020</v>
          </cell>
          <cell r="K356">
            <v>14</v>
          </cell>
          <cell r="L356">
            <v>2016</v>
          </cell>
          <cell r="M356" t="str">
            <v>Đáp ứng</v>
          </cell>
          <cell r="N356" t="str">
            <v>Intel i3 4160T 3.1GHz</v>
          </cell>
          <cell r="O356" t="str">
            <v>4GB</v>
          </cell>
          <cell r="P356" t="str">
            <v>SSD 120GB</v>
          </cell>
          <cell r="Q356" t="str">
            <v>Microsoft Windows 10</v>
          </cell>
        </row>
        <row r="357">
          <cell r="A357">
            <v>533140</v>
          </cell>
          <cell r="B357">
            <v>5375</v>
          </cell>
          <cell r="C357" t="str">
            <v>BCVH Thuận Hóa</v>
          </cell>
          <cell r="D357" t="str">
            <v>Trung tâm Vận hành</v>
          </cell>
          <cell r="E357" t="str">
            <v>BCVH Thuận Hóa</v>
          </cell>
          <cell r="F357" t="str">
            <v>Bưu cục phát</v>
          </cell>
          <cell r="H357" t="str">
            <v>Desktop</v>
          </cell>
          <cell r="I357" t="str">
            <v>HUE-TTVH-THA05</v>
          </cell>
          <cell r="J357" t="str">
            <v>Dell Optiplex 3020</v>
          </cell>
          <cell r="K357">
            <v>14</v>
          </cell>
          <cell r="L357">
            <v>2016</v>
          </cell>
          <cell r="M357" t="str">
            <v>Đáp ứng</v>
          </cell>
          <cell r="N357" t="str">
            <v>Intel i3 4160T 3.1GHz</v>
          </cell>
          <cell r="O357" t="str">
            <v>4GB</v>
          </cell>
          <cell r="P357" t="str">
            <v>SSD 120GB</v>
          </cell>
          <cell r="Q357" t="str">
            <v>Microsoft Windows 10</v>
          </cell>
        </row>
        <row r="358">
          <cell r="A358">
            <v>533800</v>
          </cell>
          <cell r="B358">
            <v>5375</v>
          </cell>
          <cell r="C358" t="str">
            <v>BCVH Thuận Hóa</v>
          </cell>
          <cell r="D358" t="str">
            <v>Trung tâm Vận hành</v>
          </cell>
          <cell r="E358" t="str">
            <v>Bưu cục khai thác thành phố Huế</v>
          </cell>
          <cell r="F358" t="str">
            <v>Bưu cục khai thác huyện</v>
          </cell>
          <cell r="H358" t="str">
            <v>Desktop</v>
          </cell>
          <cell r="J358" t="str">
            <v>Lắp ráp ĐNA</v>
          </cell>
          <cell r="K358">
            <v>0</v>
          </cell>
          <cell r="L358">
            <v>2017</v>
          </cell>
          <cell r="M358" t="str">
            <v>Không đáp ứng cần nâng cấp</v>
          </cell>
          <cell r="N358" t="str">
            <v>Intel G2030 3.0GHz</v>
          </cell>
          <cell r="O358" t="str">
            <v>4GB</v>
          </cell>
          <cell r="P358" t="str">
            <v>HDD 500GB</v>
          </cell>
          <cell r="Q358" t="str">
            <v/>
          </cell>
        </row>
        <row r="359">
          <cell r="A359">
            <v>531120</v>
          </cell>
          <cell r="B359">
            <v>5375</v>
          </cell>
          <cell r="C359" t="str">
            <v>BCVH Thuận Hóa</v>
          </cell>
          <cell r="D359" t="str">
            <v>Bưu điện KV Thuận Hóa - Phú Xuân</v>
          </cell>
          <cell r="E359" t="str">
            <v>Bưu cục Khách hàng lớn</v>
          </cell>
          <cell r="F359" t="str">
            <v>Bưu cục KHL</v>
          </cell>
          <cell r="H359" t="str">
            <v>Desktop</v>
          </cell>
          <cell r="I359" t="str">
            <v>HUE-TP-TMDT01</v>
          </cell>
          <cell r="J359" t="str">
            <v>Dell Optiplex 5060</v>
          </cell>
          <cell r="K359">
            <v>13</v>
          </cell>
          <cell r="L359">
            <v>2019</v>
          </cell>
          <cell r="M359" t="str">
            <v>Không đáp ứng cần nâng cấp</v>
          </cell>
          <cell r="N359" t="str">
            <v>Intel G6400 4.0GHz</v>
          </cell>
          <cell r="O359" t="str">
            <v>4GB</v>
          </cell>
          <cell r="P359" t="str">
            <v>SSD 250GB</v>
          </cell>
          <cell r="Q359" t="str">
            <v>Microsoft Windows 10</v>
          </cell>
        </row>
        <row r="360">
          <cell r="A360">
            <v>531120</v>
          </cell>
          <cell r="B360">
            <v>5375</v>
          </cell>
          <cell r="C360" t="str">
            <v>BCVH Thuận Hóa</v>
          </cell>
          <cell r="D360" t="str">
            <v>Bưu điện KV Thuận Hóa - Phú Xuân</v>
          </cell>
          <cell r="E360" t="str">
            <v>Bưu cục Khách hàng lớn</v>
          </cell>
          <cell r="F360" t="str">
            <v>Bưu cục KHL</v>
          </cell>
          <cell r="H360" t="str">
            <v>Desktop</v>
          </cell>
          <cell r="I360" t="str">
            <v>HUE-TP-TMDT05</v>
          </cell>
          <cell r="J360" t="str">
            <v>Dell Optiplex 5060</v>
          </cell>
          <cell r="K360">
            <v>13</v>
          </cell>
          <cell r="L360">
            <v>2019</v>
          </cell>
          <cell r="M360" t="str">
            <v>Không đáp ứng cần nâng cấp</v>
          </cell>
          <cell r="N360" t="str">
            <v>Intel i3-8100 3.20GHz</v>
          </cell>
          <cell r="O360" t="str">
            <v>4GB</v>
          </cell>
          <cell r="P360" t="str">
            <v>HDD 500GB</v>
          </cell>
          <cell r="Q360" t="str">
            <v>Microsoft Windows 10</v>
          </cell>
        </row>
        <row r="361">
          <cell r="A361">
            <v>531120</v>
          </cell>
          <cell r="B361">
            <v>5375</v>
          </cell>
          <cell r="C361" t="str">
            <v>BCVH Thuận Hóa</v>
          </cell>
          <cell r="D361" t="str">
            <v>Bưu điện KV Thuận Hóa - Phú Xuân</v>
          </cell>
          <cell r="E361" t="str">
            <v>Bưu cục Khách hàng lớn</v>
          </cell>
          <cell r="F361" t="str">
            <v>Bưu cục KHL</v>
          </cell>
          <cell r="H361" t="str">
            <v>Desktop</v>
          </cell>
          <cell r="I361" t="str">
            <v>HUE-TP-KHL01</v>
          </cell>
          <cell r="J361" t="str">
            <v>Dell Optiplex 5060</v>
          </cell>
          <cell r="K361">
            <v>12</v>
          </cell>
          <cell r="L361">
            <v>2019</v>
          </cell>
          <cell r="M361" t="str">
            <v>Đáp ứng</v>
          </cell>
          <cell r="N361" t="str">
            <v>Intel G6405 4.1GHz</v>
          </cell>
          <cell r="O361" t="str">
            <v>8GB</v>
          </cell>
          <cell r="P361" t="str">
            <v>HDD 500GB</v>
          </cell>
          <cell r="Q361" t="str">
            <v>Microsoft Windows 10</v>
          </cell>
        </row>
        <row r="362">
          <cell r="A362">
            <v>531120</v>
          </cell>
          <cell r="B362">
            <v>5375</v>
          </cell>
          <cell r="C362" t="str">
            <v>BCVH Thuận Hóa</v>
          </cell>
          <cell r="D362" t="str">
            <v>Bưu điện KV Thuận Hóa - Phú Xuân</v>
          </cell>
          <cell r="E362" t="str">
            <v>Bưu cục Khách hàng lớn</v>
          </cell>
          <cell r="F362" t="str">
            <v>Bưu cục KHL</v>
          </cell>
          <cell r="H362" t="str">
            <v>Desktop</v>
          </cell>
          <cell r="I362" t="str">
            <v>HUE-TP-TMDT07</v>
          </cell>
          <cell r="J362" t="str">
            <v>Lắp ráp ĐNA</v>
          </cell>
          <cell r="K362">
            <v>13</v>
          </cell>
          <cell r="L362">
            <v>2018</v>
          </cell>
          <cell r="M362" t="str">
            <v>Chậm</v>
          </cell>
          <cell r="N362" t="str">
            <v>Intel G4400 3.3GHz</v>
          </cell>
          <cell r="O362" t="str">
            <v>4GB</v>
          </cell>
          <cell r="P362" t="str">
            <v>HDD 500GB</v>
          </cell>
          <cell r="Q362" t="str">
            <v>Microsoft Windows 10</v>
          </cell>
        </row>
        <row r="363">
          <cell r="A363">
            <v>531120</v>
          </cell>
          <cell r="B363">
            <v>5375</v>
          </cell>
          <cell r="C363" t="str">
            <v>BCVH Thuận Hóa</v>
          </cell>
          <cell r="D363" t="str">
            <v>Bưu điện KV Thuận Hóa - Phú Xuân</v>
          </cell>
          <cell r="E363" t="str">
            <v>Bưu cục Khách hàng lớn</v>
          </cell>
          <cell r="F363" t="str">
            <v>Bưu cục KHL</v>
          </cell>
          <cell r="H363" t="str">
            <v>Desktop</v>
          </cell>
          <cell r="I363" t="str">
            <v>HUE-TP-TMDT06</v>
          </cell>
          <cell r="J363" t="str">
            <v>Lắp ráp ĐNA</v>
          </cell>
          <cell r="K363">
            <v>13</v>
          </cell>
          <cell r="L363">
            <v>2018</v>
          </cell>
          <cell r="M363" t="str">
            <v>Chậm</v>
          </cell>
          <cell r="N363" t="str">
            <v>Intel G4400 3.3GHz</v>
          </cell>
          <cell r="O363" t="str">
            <v>4GB</v>
          </cell>
          <cell r="P363" t="str">
            <v>HDD 500GB</v>
          </cell>
          <cell r="Q363" t="str">
            <v>Microsoft Windows 7</v>
          </cell>
        </row>
        <row r="364">
          <cell r="A364">
            <v>531120</v>
          </cell>
          <cell r="B364">
            <v>5375</v>
          </cell>
          <cell r="C364" t="str">
            <v>BCVH Thuận Hóa</v>
          </cell>
          <cell r="D364" t="str">
            <v>Bưu điện KV Thuận Hóa - Phú Xuân</v>
          </cell>
          <cell r="E364" t="str">
            <v>Bưu cục Khách hàng lớn</v>
          </cell>
          <cell r="F364" t="str">
            <v>Bưu cục KHL</v>
          </cell>
          <cell r="H364" t="str">
            <v>Desktop</v>
          </cell>
          <cell r="I364" t="str">
            <v>HUE-TP-TMDT04</v>
          </cell>
          <cell r="J364" t="str">
            <v>Lắp ráp ĐNA</v>
          </cell>
          <cell r="K364">
            <v>13</v>
          </cell>
          <cell r="L364">
            <v>2018</v>
          </cell>
          <cell r="M364" t="str">
            <v>Chậm</v>
          </cell>
          <cell r="N364" t="str">
            <v>Intel G4400 3.3GHz</v>
          </cell>
          <cell r="O364" t="str">
            <v>4GB</v>
          </cell>
          <cell r="P364" t="str">
            <v>HDD 500GB</v>
          </cell>
          <cell r="Q364" t="str">
            <v>Microsoft Windows 7</v>
          </cell>
        </row>
        <row r="365">
          <cell r="A365">
            <v>531120</v>
          </cell>
          <cell r="B365">
            <v>5375</v>
          </cell>
          <cell r="C365" t="str">
            <v>BCVH Thuận Hóa</v>
          </cell>
          <cell r="D365" t="str">
            <v>Bưu điện KV Thuận Hóa - Phú Xuân</v>
          </cell>
          <cell r="E365" t="str">
            <v>Bưu cục Khách hàng lớn</v>
          </cell>
          <cell r="F365" t="str">
            <v>Bưu cục KHL</v>
          </cell>
          <cell r="H365" t="str">
            <v>Desktop</v>
          </cell>
          <cell r="I365" t="str">
            <v>HUE-TP-TMDT03</v>
          </cell>
          <cell r="J365" t="str">
            <v>Dell Optiplex 3050</v>
          </cell>
          <cell r="K365">
            <v>13</v>
          </cell>
          <cell r="L365">
            <v>2018</v>
          </cell>
          <cell r="M365" t="str">
            <v>Không đáp ứng cần nâng cấp</v>
          </cell>
          <cell r="N365" t="str">
            <v>Intel i3 7100T 3.4GHz</v>
          </cell>
          <cell r="O365" t="str">
            <v>4GB</v>
          </cell>
          <cell r="P365" t="str">
            <v>HDD 500GB</v>
          </cell>
          <cell r="Q365" t="str">
            <v>Microsoft Windows 10</v>
          </cell>
        </row>
        <row r="366">
          <cell r="A366">
            <v>531120</v>
          </cell>
          <cell r="B366">
            <v>5375</v>
          </cell>
          <cell r="C366" t="str">
            <v>BCVH Thuận Hóa</v>
          </cell>
          <cell r="D366" t="str">
            <v>Bưu điện KV Thuận Hóa - Phú Xuân</v>
          </cell>
          <cell r="E366" t="str">
            <v>Bưu cục Khách hàng lớn</v>
          </cell>
          <cell r="F366" t="str">
            <v>Bưu cục KHL</v>
          </cell>
          <cell r="H366" t="str">
            <v>Desktop</v>
          </cell>
          <cell r="I366" t="str">
            <v>HUE-TTVH-KHL02</v>
          </cell>
          <cell r="J366" t="str">
            <v>Lắp ráp ĐNA</v>
          </cell>
          <cell r="K366">
            <v>14</v>
          </cell>
          <cell r="L366">
            <v>2020</v>
          </cell>
          <cell r="M366" t="str">
            <v>Đáp ứng</v>
          </cell>
          <cell r="N366" t="str">
            <v>AMD Ryzen 5 5500GT</v>
          </cell>
          <cell r="O366" t="str">
            <v>6GB</v>
          </cell>
          <cell r="P366" t="str">
            <v>SSD 250GB</v>
          </cell>
          <cell r="Q366" t="str">
            <v>Microsoft Windows 10</v>
          </cell>
        </row>
        <row r="367">
          <cell r="A367">
            <v>531120</v>
          </cell>
          <cell r="B367">
            <v>5375</v>
          </cell>
          <cell r="C367" t="str">
            <v>BCVH Thuận Hóa</v>
          </cell>
          <cell r="D367" t="str">
            <v>Bưu điện KV Thuận Hóa - Phú Xuân</v>
          </cell>
          <cell r="E367" t="str">
            <v>Bưu cục Khách hàng lớn</v>
          </cell>
          <cell r="F367" t="str">
            <v>Bưu cục KHL</v>
          </cell>
          <cell r="H367" t="str">
            <v>Desktop</v>
          </cell>
          <cell r="I367" t="str">
            <v>HUE-TP-KHL02</v>
          </cell>
          <cell r="J367" t="str">
            <v>Lắp ráp ĐNA</v>
          </cell>
          <cell r="K367">
            <v>12</v>
          </cell>
          <cell r="L367">
            <v>2015</v>
          </cell>
          <cell r="M367" t="str">
            <v>Không đáp ứng cần nâng cấp</v>
          </cell>
          <cell r="N367" t="str">
            <v>Intel i3 1310 3.4GHz</v>
          </cell>
          <cell r="O367" t="str">
            <v>8GB</v>
          </cell>
          <cell r="P367" t="str">
            <v>SSD 250GB</v>
          </cell>
          <cell r="Q367" t="str">
            <v>Microsoft Windows 10</v>
          </cell>
        </row>
        <row r="368">
          <cell r="A368">
            <v>533140</v>
          </cell>
          <cell r="B368">
            <v>5375</v>
          </cell>
          <cell r="C368" t="str">
            <v>BCVH Thuận Hóa</v>
          </cell>
          <cell r="D368" t="str">
            <v>Trung tâm Vận hành</v>
          </cell>
          <cell r="E368" t="str">
            <v>BCVH Thuận Hóa</v>
          </cell>
          <cell r="F368" t="str">
            <v>Bưu cục phát</v>
          </cell>
          <cell r="H368" t="str">
            <v>Desktop</v>
          </cell>
          <cell r="I368" t="str">
            <v>HUE-TTVH-THA06</v>
          </cell>
          <cell r="J368" t="str">
            <v>Dell Optiplex 3020</v>
          </cell>
          <cell r="K368">
            <v>14</v>
          </cell>
          <cell r="L368">
            <v>2016</v>
          </cell>
          <cell r="M368" t="str">
            <v>Không đáp ứng cần nâng cấp</v>
          </cell>
          <cell r="N368" t="str">
            <v>Intel i3 4160T 3.1GHz</v>
          </cell>
          <cell r="O368" t="str">
            <v>4GB</v>
          </cell>
          <cell r="P368" t="str">
            <v>HDD 500GB</v>
          </cell>
          <cell r="Q368" t="str">
            <v>Microsoft Windows 10</v>
          </cell>
        </row>
        <row r="369">
          <cell r="A369">
            <v>533140</v>
          </cell>
          <cell r="B369">
            <v>5375</v>
          </cell>
          <cell r="C369" t="str">
            <v>BCVH Thuận Hóa</v>
          </cell>
          <cell r="D369" t="str">
            <v>Trung tâm Vận hành</v>
          </cell>
          <cell r="E369" t="str">
            <v>BCVH Thuận Hóa</v>
          </cell>
          <cell r="F369" t="str">
            <v>Bưu cục phát</v>
          </cell>
          <cell r="H369" t="str">
            <v>Desktop</v>
          </cell>
          <cell r="I369" t="str">
            <v>HUE-TTVH-THA07</v>
          </cell>
          <cell r="J369" t="str">
            <v>Dell Optiplex 3020</v>
          </cell>
          <cell r="K369">
            <v>14</v>
          </cell>
          <cell r="L369">
            <v>2016</v>
          </cell>
          <cell r="M369" t="str">
            <v>Đáp ứng</v>
          </cell>
          <cell r="N369" t="str">
            <v>Intel i3 4160T 3.1GHz</v>
          </cell>
          <cell r="O369" t="str">
            <v>4GB</v>
          </cell>
          <cell r="P369" t="str">
            <v>SSD 120GB</v>
          </cell>
          <cell r="Q369" t="str">
            <v>Microsoft Windows 10</v>
          </cell>
        </row>
        <row r="370">
          <cell r="A370">
            <v>533140</v>
          </cell>
          <cell r="B370">
            <v>5375</v>
          </cell>
          <cell r="C370" t="str">
            <v>BCVH Thuận Hóa</v>
          </cell>
          <cell r="D370" t="str">
            <v>Trung tâm Vận hành</v>
          </cell>
          <cell r="E370" t="str">
            <v>BCVH Thuận Hóa</v>
          </cell>
          <cell r="F370" t="str">
            <v>Bưu cục phát</v>
          </cell>
          <cell r="H370" t="str">
            <v>Desktop</v>
          </cell>
          <cell r="I370" t="str">
            <v>HUE-TTVH-THA08</v>
          </cell>
          <cell r="J370" t="str">
            <v>Lắp ráp ĐNA</v>
          </cell>
          <cell r="K370">
            <v>14</v>
          </cell>
          <cell r="L370">
            <v>2017</v>
          </cell>
          <cell r="M370" t="str">
            <v>Đáp ứng</v>
          </cell>
          <cell r="N370" t="str">
            <v>Intel G3260 3.3GHz</v>
          </cell>
          <cell r="O370" t="str">
            <v>4GB</v>
          </cell>
          <cell r="P370" t="str">
            <v>SSD 120GB</v>
          </cell>
          <cell r="Q370" t="str">
            <v>Microsoft Windows 10</v>
          </cell>
        </row>
        <row r="371">
          <cell r="A371">
            <v>532220</v>
          </cell>
          <cell r="B371">
            <v>5375</v>
          </cell>
          <cell r="C371" t="str">
            <v>BCVH Thuận Hóa</v>
          </cell>
          <cell r="D371" t="str">
            <v>Trung tâm Vận hành</v>
          </cell>
          <cell r="E371" t="str">
            <v>Bưu cục phát Huế Ô tô</v>
          </cell>
          <cell r="F371" t="str">
            <v>Bưu cục phát</v>
          </cell>
          <cell r="H371" t="str">
            <v>Desktop</v>
          </cell>
          <cell r="I371" t="str">
            <v>HUE-TTVH-OTO01</v>
          </cell>
          <cell r="J371" t="str">
            <v>Lắp ráp ĐNA</v>
          </cell>
          <cell r="K371">
            <v>14</v>
          </cell>
          <cell r="L371">
            <v>2017</v>
          </cell>
          <cell r="M371" t="str">
            <v>Đáp ứng</v>
          </cell>
          <cell r="N371" t="str">
            <v>Intel G630 2.7GHz</v>
          </cell>
          <cell r="O371" t="str">
            <v>4GB</v>
          </cell>
          <cell r="P371" t="str">
            <v>SSD 120GB</v>
          </cell>
          <cell r="Q371" t="str">
            <v>Microsoft Windows 10</v>
          </cell>
        </row>
        <row r="372">
          <cell r="A372">
            <v>532220</v>
          </cell>
          <cell r="B372">
            <v>5375</v>
          </cell>
          <cell r="C372" t="str">
            <v>BCVH Thuận Hóa</v>
          </cell>
          <cell r="D372" t="str">
            <v>Trung tâm Vận hành</v>
          </cell>
          <cell r="E372" t="str">
            <v>Bưu cục phát Huế Ô tô</v>
          </cell>
          <cell r="F372" t="str">
            <v>Bưu cục phát</v>
          </cell>
          <cell r="H372" t="str">
            <v>Desktop</v>
          </cell>
          <cell r="I372" t="str">
            <v>HUE-TTVH-OTO02</v>
          </cell>
          <cell r="J372" t="str">
            <v>Dell Optiplex 3040</v>
          </cell>
          <cell r="K372">
            <v>14</v>
          </cell>
          <cell r="L372">
            <v>2025</v>
          </cell>
          <cell r="M372" t="str">
            <v>Nhanh</v>
          </cell>
          <cell r="N372" t="str">
            <v>Intel Core i3 13100 3.4GHz</v>
          </cell>
          <cell r="O372" t="str">
            <v>8GB</v>
          </cell>
          <cell r="P372" t="str">
            <v>SSD 256GB</v>
          </cell>
          <cell r="Q372" t="str">
            <v>Microsoft Windows 10</v>
          </cell>
        </row>
        <row r="373">
          <cell r="A373">
            <v>531120</v>
          </cell>
          <cell r="B373">
            <v>5375</v>
          </cell>
          <cell r="C373" t="str">
            <v>BCVH Thuận Hóa</v>
          </cell>
          <cell r="D373" t="str">
            <v>Bưu điện KV Thuận Hóa - Phú Xuân</v>
          </cell>
          <cell r="E373" t="str">
            <v>Bưu cục Khách hàng lớn</v>
          </cell>
          <cell r="F373" t="str">
            <v>Bưu cục KHL</v>
          </cell>
          <cell r="H373" t="str">
            <v>Desktop</v>
          </cell>
          <cell r="I373" t="str">
            <v>HUE-TTVH-KT1</v>
          </cell>
          <cell r="J373" t="str">
            <v>Lắp ráp ĐNA</v>
          </cell>
          <cell r="K373">
            <v>12</v>
          </cell>
          <cell r="L373">
            <v>2019</v>
          </cell>
          <cell r="M373" t="str">
            <v>Đáp ứng</v>
          </cell>
          <cell r="N373" t="str">
            <v>Intel G630 2.7GHz</v>
          </cell>
          <cell r="O373" t="str">
            <v>4GB</v>
          </cell>
          <cell r="P373" t="str">
            <v>SSD 120GB</v>
          </cell>
          <cell r="Q373" t="str">
            <v>Microsoft Windows 10</v>
          </cell>
        </row>
        <row r="374">
          <cell r="A374">
            <v>536410</v>
          </cell>
          <cell r="B374">
            <v>5376</v>
          </cell>
          <cell r="C374" t="str">
            <v>BCVH Phú Lộc</v>
          </cell>
          <cell r="D374" t="str">
            <v>Trung tâm Vận hành</v>
          </cell>
          <cell r="E374" t="str">
            <v>Bưu cục KT huyện Nam Đông</v>
          </cell>
          <cell r="F374" t="str">
            <v>Bưu cục khai thác huyện</v>
          </cell>
          <cell r="H374" t="str">
            <v>Desktop</v>
          </cell>
          <cell r="I374" t="str">
            <v>HUE-NDG-BCP</v>
          </cell>
          <cell r="J374" t="str">
            <v>Dell Optiplex 5060</v>
          </cell>
          <cell r="K374">
            <v>11</v>
          </cell>
          <cell r="L374">
            <v>2019</v>
          </cell>
          <cell r="M374" t="str">
            <v>Không đáp ứng cần nâng cấp</v>
          </cell>
          <cell r="N374" t="str">
            <v>Intel i3-8100 3.20GHz</v>
          </cell>
          <cell r="O374" t="str">
            <v>4GB</v>
          </cell>
          <cell r="P374" t="str">
            <v>HDD 500GB</v>
          </cell>
          <cell r="Q374" t="str">
            <v>Microsoft Windows 10</v>
          </cell>
        </row>
        <row r="375">
          <cell r="A375">
            <v>537220</v>
          </cell>
          <cell r="B375">
            <v>5376</v>
          </cell>
          <cell r="C375" t="str">
            <v>BCVH Phú Lộc</v>
          </cell>
          <cell r="D375" t="str">
            <v>Trung tâm Vận hành</v>
          </cell>
          <cell r="E375" t="str">
            <v>BCVH Phú Lộc</v>
          </cell>
          <cell r="F375" t="str">
            <v>Bưu cục phát</v>
          </cell>
          <cell r="H375" t="str">
            <v>Desktop</v>
          </cell>
          <cell r="I375" t="str">
            <v>HUE-PHULOC</v>
          </cell>
          <cell r="J375" t="str">
            <v>Dell Optiplex 5060</v>
          </cell>
          <cell r="K375">
            <v>10</v>
          </cell>
          <cell r="L375">
            <v>2019</v>
          </cell>
          <cell r="M375" t="str">
            <v>Không đáp ứng cần nâng cấp</v>
          </cell>
          <cell r="N375" t="str">
            <v>Intel i3-8100 3.20GHz</v>
          </cell>
          <cell r="O375" t="str">
            <v>4GB</v>
          </cell>
          <cell r="P375" t="str">
            <v>HDD 500GB</v>
          </cell>
          <cell r="Q375" t="str">
            <v>Microsoft Windows 11</v>
          </cell>
        </row>
        <row r="376">
          <cell r="A376">
            <v>537220</v>
          </cell>
          <cell r="B376">
            <v>5376</v>
          </cell>
          <cell r="C376" t="str">
            <v>BCVH Phú Lộc</v>
          </cell>
          <cell r="E376" t="str">
            <v>BCVH Phú Lộc</v>
          </cell>
        </row>
        <row r="377">
          <cell r="A377">
            <v>537220</v>
          </cell>
          <cell r="B377">
            <v>5376</v>
          </cell>
          <cell r="C377" t="str">
            <v>BCVH Phú Lộc</v>
          </cell>
          <cell r="E377" t="str">
            <v>BCVH Phú Lộc</v>
          </cell>
        </row>
        <row r="378">
          <cell r="A378">
            <v>537220</v>
          </cell>
          <cell r="B378">
            <v>5376</v>
          </cell>
          <cell r="C378" t="str">
            <v>BCVH Phú Lộc</v>
          </cell>
          <cell r="E378" t="str">
            <v>BCVH Phú Lộc</v>
          </cell>
        </row>
        <row r="379">
          <cell r="A379">
            <v>535710</v>
          </cell>
          <cell r="B379">
            <v>5377</v>
          </cell>
          <cell r="C379" t="str">
            <v>BCVH A Lưới</v>
          </cell>
          <cell r="D379" t="str">
            <v>Trung tâm Vận hành</v>
          </cell>
          <cell r="E379" t="str">
            <v>Bưu cục KT huyện A Lưới</v>
          </cell>
          <cell r="F379" t="str">
            <v>Bưu cục khai thác huyện</v>
          </cell>
        </row>
        <row r="380">
          <cell r="A380">
            <v>535790</v>
          </cell>
          <cell r="B380">
            <v>5377</v>
          </cell>
          <cell r="C380" t="str">
            <v>BCVH A Lưới</v>
          </cell>
          <cell r="D380" t="str">
            <v>Trung tâm Vận hành</v>
          </cell>
          <cell r="E380" t="str">
            <v>BCVH A Lưới</v>
          </cell>
          <cell r="F380" t="str">
            <v>Bưu cục phát</v>
          </cell>
          <cell r="H380" t="str">
            <v>Desktop</v>
          </cell>
          <cell r="I380" t="str">
            <v>HUE-ALI-BCP</v>
          </cell>
          <cell r="J380" t="str">
            <v>Dell Optiplex 3020M</v>
          </cell>
          <cell r="K380">
            <v>11</v>
          </cell>
          <cell r="L380">
            <v>2018</v>
          </cell>
          <cell r="M380" t="str">
            <v>Đáp ứng</v>
          </cell>
          <cell r="N380" t="str">
            <v>Intel i3-4150T 3.0GHz</v>
          </cell>
          <cell r="O380" t="str">
            <v>4GB</v>
          </cell>
          <cell r="P380" t="str">
            <v>SSD 120GB</v>
          </cell>
          <cell r="Q380" t="str">
            <v>Microsoft Windows 10</v>
          </cell>
        </row>
        <row r="381">
          <cell r="A381">
            <v>536700</v>
          </cell>
          <cell r="B381" t="e">
            <v>#N/A</v>
          </cell>
          <cell r="C381" t="e">
            <v>#N/A</v>
          </cell>
          <cell r="K381">
            <v>0</v>
          </cell>
          <cell r="Q381" t="str">
            <v/>
          </cell>
        </row>
        <row r="382">
          <cell r="B382" t="e">
            <v>#N/A</v>
          </cell>
          <cell r="C382" t="e">
            <v>#N/A</v>
          </cell>
        </row>
        <row r="383">
          <cell r="B383" t="e">
            <v>#N/A</v>
          </cell>
          <cell r="C383" t="e">
            <v>#N/A</v>
          </cell>
        </row>
        <row r="384">
          <cell r="B384" t="e">
            <v>#N/A</v>
          </cell>
          <cell r="C384" t="e">
            <v>#N/A</v>
          </cell>
        </row>
        <row r="385">
          <cell r="B385" t="e">
            <v>#N/A</v>
          </cell>
          <cell r="C385" t="e">
            <v>#N/A</v>
          </cell>
        </row>
        <row r="386">
          <cell r="B386" t="e">
            <v>#N/A</v>
          </cell>
          <cell r="C386" t="e">
            <v>#N/A</v>
          </cell>
        </row>
        <row r="387">
          <cell r="B387" t="e">
            <v>#N/A</v>
          </cell>
          <cell r="C387" t="e">
            <v>#N/A</v>
          </cell>
        </row>
        <row r="388">
          <cell r="B388" t="e">
            <v>#N/A</v>
          </cell>
          <cell r="C388" t="e">
            <v>#N/A</v>
          </cell>
        </row>
        <row r="389">
          <cell r="B389" t="e">
            <v>#N/A</v>
          </cell>
          <cell r="C389" t="e">
            <v>#N/A</v>
          </cell>
        </row>
        <row r="390">
          <cell r="B390" t="e">
            <v>#N/A</v>
          </cell>
          <cell r="C390" t="e">
            <v>#N/A</v>
          </cell>
        </row>
        <row r="391">
          <cell r="B391" t="e">
            <v>#N/A</v>
          </cell>
          <cell r="C391" t="e">
            <v>#N/A</v>
          </cell>
        </row>
        <row r="392">
          <cell r="B392" t="e">
            <v>#N/A</v>
          </cell>
          <cell r="C392" t="e">
            <v>#N/A</v>
          </cell>
        </row>
        <row r="393">
          <cell r="B393" t="e">
            <v>#N/A</v>
          </cell>
          <cell r="C393" t="e">
            <v>#N/A</v>
          </cell>
        </row>
        <row r="394">
          <cell r="B394" t="e">
            <v>#N/A</v>
          </cell>
          <cell r="C394" t="e">
            <v>#N/A</v>
          </cell>
        </row>
        <row r="395">
          <cell r="B395" t="e">
            <v>#N/A</v>
          </cell>
          <cell r="C395" t="e">
            <v>#N/A</v>
          </cell>
        </row>
        <row r="396">
          <cell r="B396" t="e">
            <v>#N/A</v>
          </cell>
          <cell r="C396" t="e">
            <v>#N/A</v>
          </cell>
        </row>
        <row r="397">
          <cell r="B397" t="e">
            <v>#N/A</v>
          </cell>
          <cell r="C397" t="e">
            <v>#N/A</v>
          </cell>
        </row>
        <row r="398">
          <cell r="B398" t="e">
            <v>#N/A</v>
          </cell>
          <cell r="C398" t="e">
            <v>#N/A</v>
          </cell>
        </row>
        <row r="399">
          <cell r="B399" t="e">
            <v>#N/A</v>
          </cell>
          <cell r="C399" t="e">
            <v>#N/A</v>
          </cell>
        </row>
        <row r="400">
          <cell r="B400" t="e">
            <v>#N/A</v>
          </cell>
          <cell r="C400" t="e">
            <v>#N/A</v>
          </cell>
        </row>
        <row r="401">
          <cell r="B401" t="e">
            <v>#N/A</v>
          </cell>
          <cell r="C401" t="e">
            <v>#N/A</v>
          </cell>
        </row>
        <row r="402">
          <cell r="A402">
            <v>531130</v>
          </cell>
          <cell r="B402" t="e">
            <v>#N/A</v>
          </cell>
          <cell r="C402" t="e">
            <v>#N/A</v>
          </cell>
          <cell r="Q402" t="str">
            <v/>
          </cell>
        </row>
        <row r="403">
          <cell r="A403">
            <v>531130</v>
          </cell>
          <cell r="B403" t="e">
            <v>#N/A</v>
          </cell>
          <cell r="C403" t="e">
            <v>#N/A</v>
          </cell>
          <cell r="Q403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F2F1-D09A-428E-B631-2579E4FC8382}">
  <dimension ref="A1:Y360"/>
  <sheetViews>
    <sheetView tabSelected="1" workbookViewId="0">
      <selection activeCell="C4" sqref="C4"/>
    </sheetView>
  </sheetViews>
  <sheetFormatPr defaultRowHeight="15.75" x14ac:dyDescent="0.25"/>
  <cols>
    <col min="1" max="1" width="13.140625" style="16" bestFit="1" customWidth="1"/>
    <col min="2" max="2" width="13.42578125" style="16" bestFit="1" customWidth="1"/>
    <col min="3" max="3" width="10.42578125" style="16" bestFit="1" customWidth="1"/>
    <col min="4" max="4" width="26.7109375" style="17" bestFit="1" customWidth="1"/>
    <col min="5" max="5" width="9.85546875" style="16" bestFit="1" customWidth="1"/>
    <col min="6" max="6" width="31.42578125" style="17" bestFit="1" customWidth="1"/>
    <col min="7" max="7" width="5.7109375" style="16" bestFit="1" customWidth="1"/>
    <col min="8" max="8" width="14.28515625" style="17" bestFit="1" customWidth="1"/>
    <col min="9" max="9" width="17" style="17" bestFit="1" customWidth="1"/>
    <col min="10" max="10" width="23.7109375" style="17" bestFit="1" customWidth="1"/>
    <col min="11" max="11" width="22.42578125" style="17" bestFit="1" customWidth="1"/>
    <col min="12" max="13" width="31.140625" style="17" bestFit="1" customWidth="1"/>
    <col min="14" max="14" width="32.5703125" style="17" bestFit="1" customWidth="1"/>
    <col min="15" max="15" width="30.28515625" style="17" bestFit="1" customWidth="1"/>
    <col min="16" max="16" width="37.140625" style="17" bestFit="1" customWidth="1"/>
    <col min="17" max="17" width="34.28515625" style="17" bestFit="1" customWidth="1"/>
    <col min="18" max="18" width="6.5703125" style="17" bestFit="1" customWidth="1"/>
    <col min="19" max="19" width="41.42578125" style="17" bestFit="1" customWidth="1"/>
    <col min="20" max="20" width="29.7109375" style="17" bestFit="1" customWidth="1"/>
    <col min="21" max="21" width="11.5703125" style="17" bestFit="1" customWidth="1"/>
    <col min="22" max="22" width="30.5703125" style="17" bestFit="1" customWidth="1"/>
    <col min="23" max="23" width="22.140625" style="18" bestFit="1" customWidth="1"/>
    <col min="24" max="24" width="32.7109375" style="17" bestFit="1" customWidth="1"/>
    <col min="25" max="25" width="2.140625" style="17" bestFit="1" customWidth="1"/>
  </cols>
  <sheetData>
    <row r="1" spans="1:2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9" t="s">
        <v>24</v>
      </c>
    </row>
    <row r="2" spans="1:25" x14ac:dyDescent="0.25">
      <c r="A2" s="3">
        <v>53</v>
      </c>
      <c r="B2" s="3" t="s">
        <v>25</v>
      </c>
      <c r="C2" s="4">
        <v>533671</v>
      </c>
      <c r="D2" s="5" t="s">
        <v>26</v>
      </c>
      <c r="E2" s="3">
        <f>VLOOKUP(C2,'[1]Danh muc DPV để map DL'!$B$3:$N$209,6,FALSE)</f>
        <v>0</v>
      </c>
      <c r="F2" s="5">
        <f>VLOOKUP(C2,'[1]Danh muc DPV để map DL'!$B$3:$N$209,7,FALSE)</f>
        <v>0</v>
      </c>
      <c r="G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>
        <v>5310</v>
      </c>
      <c r="V2" s="5" t="s">
        <v>27</v>
      </c>
      <c r="W2" s="6"/>
      <c r="X2" s="5" t="s">
        <v>28</v>
      </c>
      <c r="Y2" s="7"/>
    </row>
    <row r="3" spans="1:25" x14ac:dyDescent="0.25">
      <c r="A3" s="8">
        <v>53</v>
      </c>
      <c r="B3" s="8" t="s">
        <v>25</v>
      </c>
      <c r="C3" s="9">
        <v>536750</v>
      </c>
      <c r="D3" s="10" t="s">
        <v>29</v>
      </c>
      <c r="E3" s="8">
        <v>5300</v>
      </c>
      <c r="F3" s="10" t="s">
        <v>30</v>
      </c>
      <c r="G3" s="8" t="s">
        <v>31</v>
      </c>
      <c r="H3" s="10" t="s">
        <v>32</v>
      </c>
      <c r="I3" s="10"/>
      <c r="J3" s="10" t="s">
        <v>33</v>
      </c>
      <c r="K3" s="10" t="s">
        <v>34</v>
      </c>
      <c r="L3" s="10" t="s">
        <v>35</v>
      </c>
      <c r="M3" s="10" t="s">
        <v>36</v>
      </c>
      <c r="N3" s="10" t="s">
        <v>37</v>
      </c>
      <c r="O3" s="10" t="s">
        <v>38</v>
      </c>
      <c r="P3" s="10" t="s">
        <v>39</v>
      </c>
      <c r="Q3" s="10" t="s">
        <v>40</v>
      </c>
      <c r="R3" s="10" t="s">
        <v>41</v>
      </c>
      <c r="S3" s="10" t="s">
        <v>42</v>
      </c>
      <c r="T3" s="10" t="s">
        <v>43</v>
      </c>
      <c r="U3" s="10">
        <v>5310</v>
      </c>
      <c r="V3" s="10" t="s">
        <v>27</v>
      </c>
      <c r="W3" s="11" t="s">
        <v>44</v>
      </c>
      <c r="X3" s="10" t="s">
        <v>45</v>
      </c>
      <c r="Y3" s="12"/>
    </row>
    <row r="4" spans="1:25" x14ac:dyDescent="0.25">
      <c r="A4" s="3">
        <v>53</v>
      </c>
      <c r="B4" s="3" t="s">
        <v>25</v>
      </c>
      <c r="C4" s="4">
        <v>536750</v>
      </c>
      <c r="D4" s="5" t="s">
        <v>29</v>
      </c>
      <c r="E4" s="3">
        <v>5300</v>
      </c>
      <c r="F4" s="5" t="s">
        <v>30</v>
      </c>
      <c r="G4" s="3" t="s">
        <v>31</v>
      </c>
      <c r="H4" s="13" t="s">
        <v>46</v>
      </c>
      <c r="I4" s="14">
        <f ca="1">IF(H4="", "", IF(OR(I4="", I4=0), NOW(), I4))</f>
        <v>46244.355233912036</v>
      </c>
      <c r="J4" s="5" t="s">
        <v>47</v>
      </c>
      <c r="K4" s="5" t="s">
        <v>48</v>
      </c>
      <c r="L4" s="5" t="s">
        <v>35</v>
      </c>
      <c r="M4" s="5" t="s">
        <v>49</v>
      </c>
      <c r="N4" s="5" t="s">
        <v>50</v>
      </c>
      <c r="O4" s="5" t="s">
        <v>51</v>
      </c>
      <c r="P4" s="5" t="s">
        <v>39</v>
      </c>
      <c r="Q4" s="5" t="s">
        <v>40</v>
      </c>
      <c r="R4" s="5" t="s">
        <v>41</v>
      </c>
      <c r="S4" s="5" t="s">
        <v>52</v>
      </c>
      <c r="T4" s="5" t="s">
        <v>53</v>
      </c>
      <c r="U4" s="5">
        <v>5310</v>
      </c>
      <c r="V4" s="5" t="s">
        <v>27</v>
      </c>
      <c r="W4" s="6" t="s">
        <v>44</v>
      </c>
      <c r="X4" s="5" t="s">
        <v>45</v>
      </c>
      <c r="Y4" s="7"/>
    </row>
    <row r="5" spans="1:25" x14ac:dyDescent="0.25">
      <c r="A5" s="8">
        <v>53</v>
      </c>
      <c r="B5" s="8" t="s">
        <v>25</v>
      </c>
      <c r="C5" s="9">
        <v>535370</v>
      </c>
      <c r="D5" s="10" t="s">
        <v>54</v>
      </c>
      <c r="E5" s="8">
        <v>5300</v>
      </c>
      <c r="F5" s="10" t="s">
        <v>30</v>
      </c>
      <c r="G5" s="8" t="s">
        <v>55</v>
      </c>
      <c r="H5" s="10" t="s">
        <v>56</v>
      </c>
      <c r="I5" s="10"/>
      <c r="J5" s="10" t="s">
        <v>57</v>
      </c>
      <c r="K5" s="10" t="s">
        <v>58</v>
      </c>
      <c r="L5" s="10" t="s">
        <v>59</v>
      </c>
      <c r="M5" s="10" t="s">
        <v>49</v>
      </c>
      <c r="N5" s="10" t="s">
        <v>50</v>
      </c>
      <c r="O5" s="10" t="s">
        <v>60</v>
      </c>
      <c r="P5" s="10" t="s">
        <v>61</v>
      </c>
      <c r="Q5" s="10" t="s">
        <v>62</v>
      </c>
      <c r="R5" s="10" t="s">
        <v>41</v>
      </c>
      <c r="S5" s="10" t="s">
        <v>52</v>
      </c>
      <c r="T5" s="10" t="s">
        <v>43</v>
      </c>
      <c r="U5" s="10">
        <v>5310</v>
      </c>
      <c r="V5" s="10" t="s">
        <v>27</v>
      </c>
      <c r="W5" s="11" t="s">
        <v>44</v>
      </c>
      <c r="X5" s="10" t="s">
        <v>63</v>
      </c>
      <c r="Y5" s="12"/>
    </row>
    <row r="6" spans="1:25" x14ac:dyDescent="0.25">
      <c r="A6" s="3">
        <v>53</v>
      </c>
      <c r="B6" s="3" t="s">
        <v>25</v>
      </c>
      <c r="C6" s="4">
        <v>536751</v>
      </c>
      <c r="D6" s="5" t="s">
        <v>64</v>
      </c>
      <c r="E6" s="3">
        <v>5300</v>
      </c>
      <c r="F6" s="5" t="s">
        <v>30</v>
      </c>
      <c r="G6" s="3" t="s">
        <v>55</v>
      </c>
      <c r="H6" s="5" t="s">
        <v>65</v>
      </c>
      <c r="I6" s="5"/>
      <c r="J6" s="5" t="s">
        <v>66</v>
      </c>
      <c r="K6" s="5" t="s">
        <v>67</v>
      </c>
      <c r="L6" s="5" t="s">
        <v>35</v>
      </c>
      <c r="M6" s="5" t="s">
        <v>68</v>
      </c>
      <c r="N6" s="5" t="s">
        <v>69</v>
      </c>
      <c r="O6" s="5" t="s">
        <v>70</v>
      </c>
      <c r="P6" s="5" t="s">
        <v>71</v>
      </c>
      <c r="Q6" s="5" t="s">
        <v>72</v>
      </c>
      <c r="R6" s="5" t="s">
        <v>41</v>
      </c>
      <c r="S6" s="5" t="s">
        <v>52</v>
      </c>
      <c r="T6" s="5" t="s">
        <v>43</v>
      </c>
      <c r="U6" s="5">
        <v>5310</v>
      </c>
      <c r="V6" s="5" t="s">
        <v>27</v>
      </c>
      <c r="W6" s="6" t="s">
        <v>44</v>
      </c>
      <c r="X6" s="5" t="s">
        <v>73</v>
      </c>
      <c r="Y6" s="7"/>
    </row>
    <row r="7" spans="1:25" x14ac:dyDescent="0.25">
      <c r="A7" s="8">
        <v>53</v>
      </c>
      <c r="B7" s="8" t="s">
        <v>25</v>
      </c>
      <c r="C7" s="9">
        <v>536730</v>
      </c>
      <c r="D7" s="10" t="s">
        <v>74</v>
      </c>
      <c r="E7" s="8">
        <v>5300</v>
      </c>
      <c r="F7" s="10" t="s">
        <v>30</v>
      </c>
      <c r="G7" s="8" t="s">
        <v>31</v>
      </c>
      <c r="H7" s="10" t="s">
        <v>75</v>
      </c>
      <c r="I7" s="10"/>
      <c r="J7" s="10" t="s">
        <v>76</v>
      </c>
      <c r="K7" s="10" t="s">
        <v>77</v>
      </c>
      <c r="L7" s="10" t="s">
        <v>78</v>
      </c>
      <c r="M7" s="10" t="s">
        <v>68</v>
      </c>
      <c r="N7" s="10" t="s">
        <v>79</v>
      </c>
      <c r="O7" s="10" t="s">
        <v>80</v>
      </c>
      <c r="P7" s="10" t="s">
        <v>39</v>
      </c>
      <c r="Q7" s="10" t="s">
        <v>81</v>
      </c>
      <c r="R7" s="10" t="s">
        <v>41</v>
      </c>
      <c r="S7" s="10" t="s">
        <v>82</v>
      </c>
      <c r="T7" s="10" t="s">
        <v>43</v>
      </c>
      <c r="U7" s="10">
        <v>5367</v>
      </c>
      <c r="V7" s="10" t="s">
        <v>83</v>
      </c>
      <c r="W7" s="11" t="s">
        <v>44</v>
      </c>
      <c r="X7" s="10" t="s">
        <v>84</v>
      </c>
      <c r="Y7" s="12"/>
    </row>
    <row r="8" spans="1:25" x14ac:dyDescent="0.25">
      <c r="A8" s="3">
        <v>53</v>
      </c>
      <c r="B8" s="3" t="s">
        <v>25</v>
      </c>
      <c r="C8" s="4">
        <v>536740</v>
      </c>
      <c r="D8" s="5" t="s">
        <v>85</v>
      </c>
      <c r="E8" s="3">
        <v>5300</v>
      </c>
      <c r="F8" s="5" t="s">
        <v>30</v>
      </c>
      <c r="G8" s="3" t="s">
        <v>55</v>
      </c>
      <c r="H8" s="5" t="s">
        <v>86</v>
      </c>
      <c r="I8" s="5"/>
      <c r="J8" s="5" t="s">
        <v>87</v>
      </c>
      <c r="K8" s="5" t="s">
        <v>88</v>
      </c>
      <c r="L8" s="5" t="s">
        <v>78</v>
      </c>
      <c r="M8" s="5" t="s">
        <v>68</v>
      </c>
      <c r="N8" s="5" t="s">
        <v>79</v>
      </c>
      <c r="O8" s="5" t="s">
        <v>89</v>
      </c>
      <c r="P8" s="5" t="s">
        <v>61</v>
      </c>
      <c r="Q8" s="5" t="s">
        <v>81</v>
      </c>
      <c r="R8" s="5" t="s">
        <v>41</v>
      </c>
      <c r="S8" s="5" t="s">
        <v>90</v>
      </c>
      <c r="T8" s="5" t="s">
        <v>43</v>
      </c>
      <c r="U8" s="5">
        <v>5367</v>
      </c>
      <c r="V8" s="5" t="s">
        <v>83</v>
      </c>
      <c r="W8" s="6" t="s">
        <v>44</v>
      </c>
      <c r="X8" s="5" t="s">
        <v>91</v>
      </c>
      <c r="Y8" s="7"/>
    </row>
    <row r="9" spans="1:25" x14ac:dyDescent="0.25">
      <c r="A9" s="8">
        <v>53</v>
      </c>
      <c r="B9" s="8" t="s">
        <v>25</v>
      </c>
      <c r="C9" s="9">
        <v>535340</v>
      </c>
      <c r="D9" s="10" t="s">
        <v>92</v>
      </c>
      <c r="E9" s="8">
        <v>5301</v>
      </c>
      <c r="F9" s="10" t="s">
        <v>93</v>
      </c>
      <c r="G9" s="8" t="s">
        <v>55</v>
      </c>
      <c r="H9" s="10" t="s">
        <v>94</v>
      </c>
      <c r="I9" s="10"/>
      <c r="J9" s="10" t="s">
        <v>95</v>
      </c>
      <c r="K9" s="10" t="s">
        <v>96</v>
      </c>
      <c r="L9" s="10" t="s">
        <v>78</v>
      </c>
      <c r="M9" s="10" t="s">
        <v>97</v>
      </c>
      <c r="N9" s="10" t="s">
        <v>97</v>
      </c>
      <c r="O9" s="10" t="s">
        <v>98</v>
      </c>
      <c r="P9" s="10" t="s">
        <v>39</v>
      </c>
      <c r="Q9" s="10" t="s">
        <v>99</v>
      </c>
      <c r="R9" s="10" t="s">
        <v>100</v>
      </c>
      <c r="S9" s="10" t="s">
        <v>42</v>
      </c>
      <c r="T9" s="10" t="s">
        <v>43</v>
      </c>
      <c r="U9" s="10">
        <v>5310</v>
      </c>
      <c r="V9" s="10" t="s">
        <v>27</v>
      </c>
      <c r="W9" s="11" t="s">
        <v>44</v>
      </c>
      <c r="X9" s="10" t="s">
        <v>101</v>
      </c>
      <c r="Y9" s="12"/>
    </row>
    <row r="10" spans="1:25" x14ac:dyDescent="0.25">
      <c r="A10" s="3">
        <v>53</v>
      </c>
      <c r="B10" s="3" t="s">
        <v>25</v>
      </c>
      <c r="C10" s="4">
        <v>535350</v>
      </c>
      <c r="D10" s="5" t="s">
        <v>102</v>
      </c>
      <c r="E10" s="3">
        <v>5301</v>
      </c>
      <c r="F10" s="5" t="s">
        <v>93</v>
      </c>
      <c r="G10" s="3" t="s">
        <v>55</v>
      </c>
      <c r="H10" s="5" t="s">
        <v>103</v>
      </c>
      <c r="I10" s="5"/>
      <c r="J10" s="5" t="s">
        <v>104</v>
      </c>
      <c r="K10" s="5" t="s">
        <v>105</v>
      </c>
      <c r="L10" s="5" t="s">
        <v>78</v>
      </c>
      <c r="M10" s="5" t="s">
        <v>106</v>
      </c>
      <c r="N10" s="5"/>
      <c r="O10" s="5"/>
      <c r="P10" s="5" t="s">
        <v>107</v>
      </c>
      <c r="Q10" s="5" t="s">
        <v>108</v>
      </c>
      <c r="R10" s="5" t="s">
        <v>41</v>
      </c>
      <c r="S10" s="5" t="s">
        <v>109</v>
      </c>
      <c r="T10" s="5" t="s">
        <v>105</v>
      </c>
      <c r="U10" s="5">
        <v>5310</v>
      </c>
      <c r="V10" s="5" t="s">
        <v>27</v>
      </c>
      <c r="W10" s="6" t="s">
        <v>44</v>
      </c>
      <c r="X10" s="5" t="s">
        <v>110</v>
      </c>
      <c r="Y10" s="7"/>
    </row>
    <row r="11" spans="1:25" x14ac:dyDescent="0.25">
      <c r="A11" s="8">
        <v>53</v>
      </c>
      <c r="B11" s="8" t="s">
        <v>25</v>
      </c>
      <c r="C11" s="9">
        <v>534811</v>
      </c>
      <c r="D11" s="10" t="s">
        <v>111</v>
      </c>
      <c r="E11" s="8">
        <v>5301</v>
      </c>
      <c r="F11" s="10" t="s">
        <v>93</v>
      </c>
      <c r="G11" s="8" t="s">
        <v>55</v>
      </c>
      <c r="H11" s="10" t="s">
        <v>112</v>
      </c>
      <c r="I11" s="10"/>
      <c r="J11" s="10" t="s">
        <v>113</v>
      </c>
      <c r="K11" s="10" t="s">
        <v>114</v>
      </c>
      <c r="L11" s="10" t="s">
        <v>78</v>
      </c>
      <c r="M11" s="10" t="s">
        <v>49</v>
      </c>
      <c r="N11" s="10" t="s">
        <v>50</v>
      </c>
      <c r="O11" s="10" t="s">
        <v>115</v>
      </c>
      <c r="P11" s="10" t="s">
        <v>61</v>
      </c>
      <c r="Q11" s="10" t="s">
        <v>116</v>
      </c>
      <c r="R11" s="10" t="s">
        <v>41</v>
      </c>
      <c r="S11" s="10" t="s">
        <v>90</v>
      </c>
      <c r="T11" s="10" t="s">
        <v>117</v>
      </c>
      <c r="U11" s="10">
        <v>5346</v>
      </c>
      <c r="V11" s="10" t="s">
        <v>118</v>
      </c>
      <c r="W11" s="11" t="s">
        <v>44</v>
      </c>
      <c r="X11" s="10" t="s">
        <v>119</v>
      </c>
      <c r="Y11" s="12"/>
    </row>
    <row r="12" spans="1:25" x14ac:dyDescent="0.25">
      <c r="A12" s="3">
        <v>53</v>
      </c>
      <c r="B12" s="3" t="s">
        <v>25</v>
      </c>
      <c r="C12" s="4">
        <v>536810</v>
      </c>
      <c r="D12" s="5" t="s">
        <v>120</v>
      </c>
      <c r="E12" s="3">
        <v>5302</v>
      </c>
      <c r="F12" s="5" t="s">
        <v>121</v>
      </c>
      <c r="G12" s="3" t="s">
        <v>31</v>
      </c>
      <c r="H12" s="5" t="s">
        <v>122</v>
      </c>
      <c r="I12" s="5"/>
      <c r="J12" s="5" t="s">
        <v>123</v>
      </c>
      <c r="K12" s="5" t="s">
        <v>124</v>
      </c>
      <c r="L12" s="5" t="s">
        <v>35</v>
      </c>
      <c r="M12" s="5" t="s">
        <v>125</v>
      </c>
      <c r="N12" s="5" t="s">
        <v>126</v>
      </c>
      <c r="O12" s="5" t="s">
        <v>127</v>
      </c>
      <c r="P12" s="5" t="s">
        <v>128</v>
      </c>
      <c r="Q12" s="5" t="s">
        <v>129</v>
      </c>
      <c r="R12" s="5" t="s">
        <v>41</v>
      </c>
      <c r="S12" s="5" t="s">
        <v>42</v>
      </c>
      <c r="T12" s="5" t="s">
        <v>43</v>
      </c>
      <c r="U12" s="5">
        <v>5310</v>
      </c>
      <c r="V12" s="5" t="s">
        <v>27</v>
      </c>
      <c r="W12" s="6" t="s">
        <v>44</v>
      </c>
      <c r="X12" s="5" t="s">
        <v>130</v>
      </c>
      <c r="Y12" s="7"/>
    </row>
    <row r="13" spans="1:25" x14ac:dyDescent="0.25">
      <c r="A13" s="8">
        <v>53</v>
      </c>
      <c r="B13" s="8" t="s">
        <v>25</v>
      </c>
      <c r="C13" s="9">
        <v>536801</v>
      </c>
      <c r="D13" s="10" t="s">
        <v>131</v>
      </c>
      <c r="E13" s="8">
        <v>5302</v>
      </c>
      <c r="F13" s="10" t="s">
        <v>121</v>
      </c>
      <c r="G13" s="8" t="s">
        <v>55</v>
      </c>
      <c r="H13" s="10" t="s">
        <v>132</v>
      </c>
      <c r="I13" s="10"/>
      <c r="J13" s="10" t="s">
        <v>133</v>
      </c>
      <c r="K13" s="10" t="s">
        <v>134</v>
      </c>
      <c r="L13" s="10" t="s">
        <v>59</v>
      </c>
      <c r="M13" s="10" t="s">
        <v>68</v>
      </c>
      <c r="N13" s="10" t="s">
        <v>79</v>
      </c>
      <c r="O13" s="10" t="s">
        <v>135</v>
      </c>
      <c r="P13" s="10" t="s">
        <v>136</v>
      </c>
      <c r="Q13" s="10" t="s">
        <v>81</v>
      </c>
      <c r="R13" s="10" t="s">
        <v>100</v>
      </c>
      <c r="S13" s="10" t="s">
        <v>137</v>
      </c>
      <c r="T13" s="10" t="s">
        <v>43</v>
      </c>
      <c r="U13" s="10">
        <v>5310</v>
      </c>
      <c r="V13" s="10" t="s">
        <v>27</v>
      </c>
      <c r="W13" s="11" t="s">
        <v>44</v>
      </c>
      <c r="X13" s="10" t="s">
        <v>138</v>
      </c>
      <c r="Y13" s="12"/>
    </row>
    <row r="14" spans="1:25" x14ac:dyDescent="0.25">
      <c r="A14" s="3">
        <v>53</v>
      </c>
      <c r="B14" s="3" t="s">
        <v>25</v>
      </c>
      <c r="C14" s="4">
        <v>536801</v>
      </c>
      <c r="D14" s="5" t="s">
        <v>131</v>
      </c>
      <c r="E14" s="3">
        <v>5302</v>
      </c>
      <c r="F14" s="5" t="s">
        <v>121</v>
      </c>
      <c r="G14" s="3" t="s">
        <v>55</v>
      </c>
      <c r="H14" s="5" t="s">
        <v>139</v>
      </c>
      <c r="I14" s="5"/>
      <c r="J14" s="5" t="s">
        <v>140</v>
      </c>
      <c r="K14" s="5" t="s">
        <v>141</v>
      </c>
      <c r="L14" s="5" t="s">
        <v>35</v>
      </c>
      <c r="M14" s="5" t="s">
        <v>36</v>
      </c>
      <c r="N14" s="5" t="s">
        <v>142</v>
      </c>
      <c r="O14" s="5" t="s">
        <v>38</v>
      </c>
      <c r="P14" s="5" t="s">
        <v>61</v>
      </c>
      <c r="Q14" s="5" t="s">
        <v>99</v>
      </c>
      <c r="R14" s="5" t="s">
        <v>41</v>
      </c>
      <c r="S14" s="5" t="s">
        <v>137</v>
      </c>
      <c r="T14" s="5" t="s">
        <v>143</v>
      </c>
      <c r="U14" s="5">
        <v>5310</v>
      </c>
      <c r="V14" s="5" t="s">
        <v>27</v>
      </c>
      <c r="W14" s="6" t="s">
        <v>44</v>
      </c>
      <c r="X14" s="5" t="s">
        <v>138</v>
      </c>
      <c r="Y14" s="7"/>
    </row>
    <row r="15" spans="1:25" x14ac:dyDescent="0.25">
      <c r="A15" s="8">
        <v>53</v>
      </c>
      <c r="B15" s="8" t="s">
        <v>25</v>
      </c>
      <c r="C15" s="9">
        <v>536720</v>
      </c>
      <c r="D15" s="10" t="s">
        <v>144</v>
      </c>
      <c r="E15" s="8">
        <v>5302</v>
      </c>
      <c r="F15" s="10" t="s">
        <v>121</v>
      </c>
      <c r="G15" s="8" t="s">
        <v>55</v>
      </c>
      <c r="H15" s="10" t="s">
        <v>145</v>
      </c>
      <c r="I15" s="10"/>
      <c r="J15" s="10" t="s">
        <v>146</v>
      </c>
      <c r="K15" s="10" t="s">
        <v>147</v>
      </c>
      <c r="L15" s="10" t="s">
        <v>78</v>
      </c>
      <c r="M15" s="10" t="s">
        <v>68</v>
      </c>
      <c r="N15" s="10" t="s">
        <v>69</v>
      </c>
      <c r="O15" s="10" t="s">
        <v>148</v>
      </c>
      <c r="P15" s="10" t="s">
        <v>128</v>
      </c>
      <c r="Q15" s="10" t="s">
        <v>40</v>
      </c>
      <c r="R15" s="10" t="s">
        <v>41</v>
      </c>
      <c r="S15" s="10" t="s">
        <v>137</v>
      </c>
      <c r="T15" s="10" t="s">
        <v>43</v>
      </c>
      <c r="U15" s="10">
        <v>5367</v>
      </c>
      <c r="V15" s="10" t="s">
        <v>83</v>
      </c>
      <c r="W15" s="11" t="s">
        <v>44</v>
      </c>
      <c r="X15" s="10" t="s">
        <v>149</v>
      </c>
      <c r="Y15" s="12"/>
    </row>
    <row r="16" spans="1:25" x14ac:dyDescent="0.25">
      <c r="A16" s="3">
        <v>53</v>
      </c>
      <c r="B16" s="3" t="s">
        <v>25</v>
      </c>
      <c r="C16" s="4">
        <v>536820</v>
      </c>
      <c r="D16" s="5" t="s">
        <v>150</v>
      </c>
      <c r="E16" s="3">
        <v>5302</v>
      </c>
      <c r="F16" s="5" t="s">
        <v>121</v>
      </c>
      <c r="G16" s="3" t="s">
        <v>55</v>
      </c>
      <c r="H16" s="5" t="s">
        <v>151</v>
      </c>
      <c r="I16" s="5"/>
      <c r="J16" s="5" t="s">
        <v>152</v>
      </c>
      <c r="K16" s="5" t="s">
        <v>153</v>
      </c>
      <c r="L16" s="5" t="s">
        <v>78</v>
      </c>
      <c r="M16" s="5" t="s">
        <v>68</v>
      </c>
      <c r="N16" s="5" t="s">
        <v>69</v>
      </c>
      <c r="O16" s="5" t="s">
        <v>154</v>
      </c>
      <c r="P16" s="5" t="s">
        <v>61</v>
      </c>
      <c r="Q16" s="5" t="s">
        <v>40</v>
      </c>
      <c r="R16" s="5" t="s">
        <v>41</v>
      </c>
      <c r="S16" s="5" t="s">
        <v>153</v>
      </c>
      <c r="T16" s="5" t="s">
        <v>43</v>
      </c>
      <c r="U16" s="5">
        <v>5367</v>
      </c>
      <c r="V16" s="5" t="s">
        <v>83</v>
      </c>
      <c r="W16" s="6" t="s">
        <v>44</v>
      </c>
      <c r="X16" s="5" t="s">
        <v>155</v>
      </c>
      <c r="Y16" s="7"/>
    </row>
    <row r="17" spans="1:25" x14ac:dyDescent="0.25">
      <c r="A17" s="8">
        <v>53</v>
      </c>
      <c r="B17" s="8" t="s">
        <v>25</v>
      </c>
      <c r="C17" s="9">
        <v>536190</v>
      </c>
      <c r="D17" s="10" t="s">
        <v>156</v>
      </c>
      <c r="E17" s="8">
        <v>5303</v>
      </c>
      <c r="F17" s="10" t="s">
        <v>157</v>
      </c>
      <c r="G17" s="8" t="s">
        <v>55</v>
      </c>
      <c r="H17" s="10" t="s">
        <v>158</v>
      </c>
      <c r="I17" s="10"/>
      <c r="J17" s="10" t="s">
        <v>159</v>
      </c>
      <c r="K17" s="10" t="s">
        <v>160</v>
      </c>
      <c r="L17" s="10" t="s">
        <v>78</v>
      </c>
      <c r="M17" s="10" t="s">
        <v>161</v>
      </c>
      <c r="N17" s="10" t="s">
        <v>162</v>
      </c>
      <c r="O17" s="10" t="s">
        <v>98</v>
      </c>
      <c r="P17" s="10" t="s">
        <v>39</v>
      </c>
      <c r="Q17" s="10" t="s">
        <v>99</v>
      </c>
      <c r="R17" s="10" t="s">
        <v>41</v>
      </c>
      <c r="S17" s="10" t="s">
        <v>82</v>
      </c>
      <c r="T17" s="10" t="s">
        <v>43</v>
      </c>
      <c r="U17" s="10">
        <v>5310</v>
      </c>
      <c r="V17" s="10" t="s">
        <v>27</v>
      </c>
      <c r="W17" s="11" t="s">
        <v>44</v>
      </c>
      <c r="X17" s="10" t="s">
        <v>163</v>
      </c>
      <c r="Y17" s="12"/>
    </row>
    <row r="18" spans="1:25" x14ac:dyDescent="0.25">
      <c r="A18" s="3">
        <v>53</v>
      </c>
      <c r="B18" s="3" t="s">
        <v>25</v>
      </c>
      <c r="C18" s="4">
        <v>536190</v>
      </c>
      <c r="D18" s="5" t="s">
        <v>156</v>
      </c>
      <c r="E18" s="3">
        <v>5303</v>
      </c>
      <c r="F18" s="5" t="s">
        <v>157</v>
      </c>
      <c r="G18" s="3" t="s">
        <v>55</v>
      </c>
      <c r="H18" s="5" t="s">
        <v>164</v>
      </c>
      <c r="I18" s="5"/>
      <c r="J18" s="5" t="s">
        <v>165</v>
      </c>
      <c r="K18" s="5" t="s">
        <v>166</v>
      </c>
      <c r="L18" s="5" t="s">
        <v>35</v>
      </c>
      <c r="M18" s="5" t="s">
        <v>68</v>
      </c>
      <c r="N18" s="5" t="s">
        <v>167</v>
      </c>
      <c r="O18" s="5" t="s">
        <v>168</v>
      </c>
      <c r="P18" s="5" t="s">
        <v>39</v>
      </c>
      <c r="Q18" s="5" t="s">
        <v>169</v>
      </c>
      <c r="R18" s="5" t="s">
        <v>41</v>
      </c>
      <c r="S18" s="5" t="s">
        <v>82</v>
      </c>
      <c r="T18" s="5" t="s">
        <v>170</v>
      </c>
      <c r="U18" s="5">
        <v>5310</v>
      </c>
      <c r="V18" s="5" t="s">
        <v>27</v>
      </c>
      <c r="W18" s="6" t="s">
        <v>44</v>
      </c>
      <c r="X18" s="5" t="s">
        <v>163</v>
      </c>
      <c r="Y18" s="7"/>
    </row>
    <row r="19" spans="1:25" x14ac:dyDescent="0.25">
      <c r="A19" s="8">
        <v>53</v>
      </c>
      <c r="B19" s="8" t="s">
        <v>25</v>
      </c>
      <c r="C19" s="9">
        <v>530000</v>
      </c>
      <c r="D19" s="10" t="s">
        <v>171</v>
      </c>
      <c r="E19" s="8">
        <v>5304</v>
      </c>
      <c r="F19" s="10" t="s">
        <v>172</v>
      </c>
      <c r="G19" s="8" t="s">
        <v>173</v>
      </c>
      <c r="H19" s="10" t="s">
        <v>174</v>
      </c>
      <c r="I19" s="10"/>
      <c r="J19" s="10" t="s">
        <v>175</v>
      </c>
      <c r="K19" s="10" t="s">
        <v>176</v>
      </c>
      <c r="L19" s="10" t="s">
        <v>35</v>
      </c>
      <c r="M19" s="10" t="s">
        <v>68</v>
      </c>
      <c r="N19" s="10" t="s">
        <v>177</v>
      </c>
      <c r="O19" s="10" t="s">
        <v>178</v>
      </c>
      <c r="P19" s="10" t="s">
        <v>39</v>
      </c>
      <c r="Q19" s="10" t="s">
        <v>179</v>
      </c>
      <c r="R19" s="10" t="s">
        <v>41</v>
      </c>
      <c r="S19" s="10" t="s">
        <v>137</v>
      </c>
      <c r="T19" s="10" t="s">
        <v>43</v>
      </c>
      <c r="U19" s="10">
        <v>5310</v>
      </c>
      <c r="V19" s="10" t="s">
        <v>27</v>
      </c>
      <c r="W19" s="11" t="s">
        <v>180</v>
      </c>
      <c r="X19" s="10" t="s">
        <v>181</v>
      </c>
      <c r="Y19" s="12"/>
    </row>
    <row r="20" spans="1:25" x14ac:dyDescent="0.25">
      <c r="A20" s="3">
        <v>53</v>
      </c>
      <c r="B20" s="3" t="s">
        <v>25</v>
      </c>
      <c r="C20" s="4">
        <v>530000</v>
      </c>
      <c r="D20" s="5" t="s">
        <v>171</v>
      </c>
      <c r="E20" s="3">
        <v>5304</v>
      </c>
      <c r="F20" s="5" t="s">
        <v>172</v>
      </c>
      <c r="G20" s="3" t="s">
        <v>173</v>
      </c>
      <c r="H20" s="5" t="s">
        <v>182</v>
      </c>
      <c r="I20" s="5"/>
      <c r="J20" s="5" t="s">
        <v>183</v>
      </c>
      <c r="K20" s="5" t="s">
        <v>184</v>
      </c>
      <c r="L20" s="5" t="s">
        <v>78</v>
      </c>
      <c r="M20" s="5" t="s">
        <v>125</v>
      </c>
      <c r="N20" s="5" t="s">
        <v>126</v>
      </c>
      <c r="O20" s="5" t="s">
        <v>185</v>
      </c>
      <c r="P20" s="5" t="s">
        <v>128</v>
      </c>
      <c r="Q20" s="5" t="s">
        <v>129</v>
      </c>
      <c r="R20" s="5" t="s">
        <v>41</v>
      </c>
      <c r="S20" s="5" t="s">
        <v>42</v>
      </c>
      <c r="T20" s="5" t="s">
        <v>43</v>
      </c>
      <c r="U20" s="5">
        <v>5310</v>
      </c>
      <c r="V20" s="5" t="s">
        <v>27</v>
      </c>
      <c r="W20" s="6" t="s">
        <v>180</v>
      </c>
      <c r="X20" s="5" t="s">
        <v>181</v>
      </c>
      <c r="Y20" s="7"/>
    </row>
    <row r="21" spans="1:25" x14ac:dyDescent="0.25">
      <c r="A21" s="8">
        <v>53</v>
      </c>
      <c r="B21" s="8" t="s">
        <v>25</v>
      </c>
      <c r="C21" s="9">
        <v>530000</v>
      </c>
      <c r="D21" s="10" t="s">
        <v>171</v>
      </c>
      <c r="E21" s="8">
        <v>5304</v>
      </c>
      <c r="F21" s="10" t="s">
        <v>172</v>
      </c>
      <c r="G21" s="8" t="s">
        <v>173</v>
      </c>
      <c r="H21" s="10" t="s">
        <v>186</v>
      </c>
      <c r="I21" s="10"/>
      <c r="J21" s="10" t="s">
        <v>187</v>
      </c>
      <c r="K21" s="10" t="s">
        <v>188</v>
      </c>
      <c r="L21" s="10" t="s">
        <v>35</v>
      </c>
      <c r="M21" s="10" t="s">
        <v>68</v>
      </c>
      <c r="N21" s="10" t="s">
        <v>167</v>
      </c>
      <c r="O21" s="10" t="s">
        <v>189</v>
      </c>
      <c r="P21" s="10" t="s">
        <v>39</v>
      </c>
      <c r="Q21" s="10" t="s">
        <v>190</v>
      </c>
      <c r="R21" s="10" t="s">
        <v>41</v>
      </c>
      <c r="S21" s="10" t="s">
        <v>137</v>
      </c>
      <c r="T21" s="10" t="s">
        <v>43</v>
      </c>
      <c r="U21" s="10">
        <v>5310</v>
      </c>
      <c r="V21" s="10" t="s">
        <v>27</v>
      </c>
      <c r="W21" s="11" t="s">
        <v>180</v>
      </c>
      <c r="X21" s="10" t="s">
        <v>181</v>
      </c>
      <c r="Y21" s="12"/>
    </row>
    <row r="22" spans="1:25" x14ac:dyDescent="0.25">
      <c r="A22" s="3">
        <v>53</v>
      </c>
      <c r="B22" s="3" t="s">
        <v>25</v>
      </c>
      <c r="C22" s="4">
        <v>530000</v>
      </c>
      <c r="D22" s="5" t="s">
        <v>171</v>
      </c>
      <c r="E22" s="3">
        <v>5304</v>
      </c>
      <c r="F22" s="5" t="s">
        <v>172</v>
      </c>
      <c r="G22" s="3" t="s">
        <v>173</v>
      </c>
      <c r="H22" s="5" t="s">
        <v>191</v>
      </c>
      <c r="I22" s="5"/>
      <c r="J22" s="5" t="s">
        <v>192</v>
      </c>
      <c r="K22" s="5" t="s">
        <v>193</v>
      </c>
      <c r="L22" s="5" t="s">
        <v>78</v>
      </c>
      <c r="M22" s="5" t="s">
        <v>125</v>
      </c>
      <c r="N22" s="5" t="s">
        <v>126</v>
      </c>
      <c r="O22" s="5" t="s">
        <v>194</v>
      </c>
      <c r="P22" s="5" t="s">
        <v>128</v>
      </c>
      <c r="Q22" s="5" t="s">
        <v>129</v>
      </c>
      <c r="R22" s="5" t="s">
        <v>41</v>
      </c>
      <c r="S22" s="5" t="s">
        <v>42</v>
      </c>
      <c r="T22" s="5" t="s">
        <v>43</v>
      </c>
      <c r="U22" s="5">
        <v>5310</v>
      </c>
      <c r="V22" s="5" t="s">
        <v>27</v>
      </c>
      <c r="W22" s="6" t="s">
        <v>180</v>
      </c>
      <c r="X22" s="5" t="s">
        <v>181</v>
      </c>
      <c r="Y22" s="7"/>
    </row>
    <row r="23" spans="1:25" x14ac:dyDescent="0.25">
      <c r="A23" s="8">
        <v>53</v>
      </c>
      <c r="B23" s="8" t="s">
        <v>25</v>
      </c>
      <c r="C23" s="9">
        <v>530000</v>
      </c>
      <c r="D23" s="10" t="s">
        <v>171</v>
      </c>
      <c r="E23" s="8">
        <v>5304</v>
      </c>
      <c r="F23" s="10" t="s">
        <v>172</v>
      </c>
      <c r="G23" s="8" t="s">
        <v>173</v>
      </c>
      <c r="H23" s="10" t="s">
        <v>195</v>
      </c>
      <c r="I23" s="10"/>
      <c r="J23" s="10" t="s">
        <v>196</v>
      </c>
      <c r="K23" s="10" t="s">
        <v>197</v>
      </c>
      <c r="L23" s="10" t="s">
        <v>78</v>
      </c>
      <c r="M23" s="10" t="s">
        <v>125</v>
      </c>
      <c r="N23" s="10" t="s">
        <v>126</v>
      </c>
      <c r="O23" s="10" t="s">
        <v>198</v>
      </c>
      <c r="P23" s="10" t="s">
        <v>199</v>
      </c>
      <c r="Q23" s="10" t="s">
        <v>129</v>
      </c>
      <c r="R23" s="10" t="s">
        <v>41</v>
      </c>
      <c r="S23" s="10" t="s">
        <v>42</v>
      </c>
      <c r="T23" s="10" t="s">
        <v>43</v>
      </c>
      <c r="U23" s="10">
        <v>5310</v>
      </c>
      <c r="V23" s="10" t="s">
        <v>27</v>
      </c>
      <c r="W23" s="11" t="s">
        <v>180</v>
      </c>
      <c r="X23" s="10" t="s">
        <v>181</v>
      </c>
      <c r="Y23" s="12"/>
    </row>
    <row r="24" spans="1:25" x14ac:dyDescent="0.25">
      <c r="A24" s="3">
        <v>53</v>
      </c>
      <c r="B24" s="3" t="s">
        <v>25</v>
      </c>
      <c r="C24" s="4">
        <v>530000</v>
      </c>
      <c r="D24" s="5" t="s">
        <v>171</v>
      </c>
      <c r="E24" s="3">
        <v>5304</v>
      </c>
      <c r="F24" s="5" t="s">
        <v>172</v>
      </c>
      <c r="G24" s="3" t="s">
        <v>173</v>
      </c>
      <c r="H24" s="5" t="s">
        <v>200</v>
      </c>
      <c r="I24" s="5"/>
      <c r="J24" s="5" t="s">
        <v>201</v>
      </c>
      <c r="K24" s="5" t="s">
        <v>202</v>
      </c>
      <c r="L24" s="5" t="s">
        <v>78</v>
      </c>
      <c r="M24" s="5" t="s">
        <v>125</v>
      </c>
      <c r="N24" s="5" t="s">
        <v>126</v>
      </c>
      <c r="O24" s="5" t="s">
        <v>203</v>
      </c>
      <c r="P24" s="5" t="s">
        <v>128</v>
      </c>
      <c r="Q24" s="5" t="s">
        <v>129</v>
      </c>
      <c r="R24" s="5" t="s">
        <v>41</v>
      </c>
      <c r="S24" s="5" t="s">
        <v>42</v>
      </c>
      <c r="T24" s="5" t="s">
        <v>43</v>
      </c>
      <c r="U24" s="5">
        <v>5310</v>
      </c>
      <c r="V24" s="5" t="s">
        <v>27</v>
      </c>
      <c r="W24" s="6" t="s">
        <v>180</v>
      </c>
      <c r="X24" s="5" t="s">
        <v>181</v>
      </c>
      <c r="Y24" s="7"/>
    </row>
    <row r="25" spans="1:25" x14ac:dyDescent="0.25">
      <c r="A25" s="8">
        <v>53</v>
      </c>
      <c r="B25" s="8" t="s">
        <v>25</v>
      </c>
      <c r="C25" s="9">
        <v>530000</v>
      </c>
      <c r="D25" s="10" t="s">
        <v>171</v>
      </c>
      <c r="E25" s="8">
        <v>5304</v>
      </c>
      <c r="F25" s="10" t="s">
        <v>172</v>
      </c>
      <c r="G25" s="8" t="s">
        <v>173</v>
      </c>
      <c r="H25" s="10" t="s">
        <v>204</v>
      </c>
      <c r="I25" s="10"/>
      <c r="J25" s="10" t="s">
        <v>205</v>
      </c>
      <c r="K25" s="10" t="s">
        <v>206</v>
      </c>
      <c r="L25" s="10" t="s">
        <v>35</v>
      </c>
      <c r="M25" s="10" t="s">
        <v>68</v>
      </c>
      <c r="N25" s="10" t="s">
        <v>79</v>
      </c>
      <c r="O25" s="10" t="s">
        <v>207</v>
      </c>
      <c r="P25" s="10" t="s">
        <v>39</v>
      </c>
      <c r="Q25" s="10" t="s">
        <v>208</v>
      </c>
      <c r="R25" s="10" t="s">
        <v>41</v>
      </c>
      <c r="S25" s="10" t="s">
        <v>82</v>
      </c>
      <c r="T25" s="10" t="s">
        <v>43</v>
      </c>
      <c r="U25" s="10">
        <v>5310</v>
      </c>
      <c r="V25" s="10" t="s">
        <v>27</v>
      </c>
      <c r="W25" s="11" t="s">
        <v>180</v>
      </c>
      <c r="X25" s="10" t="s">
        <v>181</v>
      </c>
      <c r="Y25" s="12"/>
    </row>
    <row r="26" spans="1:25" x14ac:dyDescent="0.25">
      <c r="A26" s="3">
        <v>53</v>
      </c>
      <c r="B26" s="3" t="s">
        <v>25</v>
      </c>
      <c r="C26" s="4">
        <v>530000</v>
      </c>
      <c r="D26" s="5" t="s">
        <v>171</v>
      </c>
      <c r="E26" s="3">
        <v>5304</v>
      </c>
      <c r="F26" s="5" t="s">
        <v>172</v>
      </c>
      <c r="G26" s="3" t="s">
        <v>173</v>
      </c>
      <c r="H26" s="5" t="s">
        <v>209</v>
      </c>
      <c r="I26" s="5"/>
      <c r="J26" s="5" t="s">
        <v>210</v>
      </c>
      <c r="K26" s="5" t="s">
        <v>211</v>
      </c>
      <c r="L26" s="5" t="s">
        <v>78</v>
      </c>
      <c r="M26" s="5" t="s">
        <v>125</v>
      </c>
      <c r="N26" s="5" t="s">
        <v>126</v>
      </c>
      <c r="O26" s="5" t="s">
        <v>212</v>
      </c>
      <c r="P26" s="5" t="s">
        <v>39</v>
      </c>
      <c r="Q26" s="5" t="s">
        <v>129</v>
      </c>
      <c r="R26" s="5" t="s">
        <v>41</v>
      </c>
      <c r="S26" s="5" t="s">
        <v>42</v>
      </c>
      <c r="T26" s="5" t="s">
        <v>43</v>
      </c>
      <c r="U26" s="5">
        <v>5310</v>
      </c>
      <c r="V26" s="5" t="s">
        <v>27</v>
      </c>
      <c r="W26" s="6" t="s">
        <v>180</v>
      </c>
      <c r="X26" s="5" t="s">
        <v>181</v>
      </c>
      <c r="Y26" s="7"/>
    </row>
    <row r="27" spans="1:25" x14ac:dyDescent="0.25">
      <c r="A27" s="8">
        <v>53</v>
      </c>
      <c r="B27" s="8" t="s">
        <v>25</v>
      </c>
      <c r="C27" s="9">
        <v>530000</v>
      </c>
      <c r="D27" s="10" t="s">
        <v>171</v>
      </c>
      <c r="E27" s="8">
        <v>5304</v>
      </c>
      <c r="F27" s="10" t="s">
        <v>172</v>
      </c>
      <c r="G27" s="8" t="s">
        <v>173</v>
      </c>
      <c r="H27" s="10" t="s">
        <v>213</v>
      </c>
      <c r="I27" s="10"/>
      <c r="J27" s="10" t="s">
        <v>214</v>
      </c>
      <c r="K27" s="10" t="s">
        <v>215</v>
      </c>
      <c r="L27" s="10" t="s">
        <v>35</v>
      </c>
      <c r="M27" s="10" t="s">
        <v>68</v>
      </c>
      <c r="N27" s="10" t="s">
        <v>216</v>
      </c>
      <c r="O27" s="10" t="s">
        <v>217</v>
      </c>
      <c r="P27" s="10" t="s">
        <v>39</v>
      </c>
      <c r="Q27" s="10" t="s">
        <v>99</v>
      </c>
      <c r="R27" s="10" t="s">
        <v>100</v>
      </c>
      <c r="S27" s="10" t="s">
        <v>218</v>
      </c>
      <c r="T27" s="10" t="s">
        <v>219</v>
      </c>
      <c r="U27" s="10">
        <v>5310</v>
      </c>
      <c r="V27" s="10" t="s">
        <v>27</v>
      </c>
      <c r="W27" s="11" t="s">
        <v>180</v>
      </c>
      <c r="X27" s="10" t="s">
        <v>181</v>
      </c>
      <c r="Y27" s="12"/>
    </row>
    <row r="28" spans="1:25" x14ac:dyDescent="0.25">
      <c r="A28" s="3">
        <v>53</v>
      </c>
      <c r="B28" s="3" t="s">
        <v>25</v>
      </c>
      <c r="C28" s="4">
        <v>530000</v>
      </c>
      <c r="D28" s="5" t="s">
        <v>171</v>
      </c>
      <c r="E28" s="3">
        <v>5304</v>
      </c>
      <c r="F28" s="5" t="s">
        <v>172</v>
      </c>
      <c r="G28" s="3" t="s">
        <v>173</v>
      </c>
      <c r="H28" s="5" t="s">
        <v>220</v>
      </c>
      <c r="I28" s="5"/>
      <c r="J28" s="5" t="s">
        <v>221</v>
      </c>
      <c r="K28" s="5" t="s">
        <v>222</v>
      </c>
      <c r="L28" s="5" t="s">
        <v>78</v>
      </c>
      <c r="M28" s="5" t="s">
        <v>125</v>
      </c>
      <c r="N28" s="5" t="s">
        <v>126</v>
      </c>
      <c r="O28" s="5" t="s">
        <v>223</v>
      </c>
      <c r="P28" s="5" t="s">
        <v>128</v>
      </c>
      <c r="Q28" s="5" t="s">
        <v>129</v>
      </c>
      <c r="R28" s="5" t="s">
        <v>41</v>
      </c>
      <c r="S28" s="5" t="s">
        <v>42</v>
      </c>
      <c r="T28" s="5" t="s">
        <v>43</v>
      </c>
      <c r="U28" s="5">
        <v>5310</v>
      </c>
      <c r="V28" s="5" t="s">
        <v>27</v>
      </c>
      <c r="W28" s="6" t="s">
        <v>180</v>
      </c>
      <c r="X28" s="5" t="s">
        <v>181</v>
      </c>
      <c r="Y28" s="7"/>
    </row>
    <row r="29" spans="1:25" x14ac:dyDescent="0.25">
      <c r="A29" s="8">
        <v>53</v>
      </c>
      <c r="B29" s="8" t="s">
        <v>25</v>
      </c>
      <c r="C29" s="9">
        <v>530000</v>
      </c>
      <c r="D29" s="10" t="s">
        <v>171</v>
      </c>
      <c r="E29" s="8">
        <v>5304</v>
      </c>
      <c r="F29" s="10" t="s">
        <v>172</v>
      </c>
      <c r="G29" s="8" t="s">
        <v>173</v>
      </c>
      <c r="H29" s="10" t="s">
        <v>224</v>
      </c>
      <c r="I29" s="10"/>
      <c r="J29" s="10" t="s">
        <v>221</v>
      </c>
      <c r="K29" s="10" t="s">
        <v>222</v>
      </c>
      <c r="L29" s="10" t="s">
        <v>78</v>
      </c>
      <c r="M29" s="10" t="s">
        <v>125</v>
      </c>
      <c r="N29" s="10" t="s">
        <v>126</v>
      </c>
      <c r="O29" s="10" t="s">
        <v>223</v>
      </c>
      <c r="P29" s="10" t="s">
        <v>128</v>
      </c>
      <c r="Q29" s="10" t="s">
        <v>129</v>
      </c>
      <c r="R29" s="10" t="s">
        <v>41</v>
      </c>
      <c r="S29" s="10" t="s">
        <v>42</v>
      </c>
      <c r="T29" s="10" t="s">
        <v>43</v>
      </c>
      <c r="U29" s="10">
        <v>5310</v>
      </c>
      <c r="V29" s="10" t="s">
        <v>27</v>
      </c>
      <c r="W29" s="11" t="s">
        <v>180</v>
      </c>
      <c r="X29" s="10" t="s">
        <v>181</v>
      </c>
      <c r="Y29" s="12"/>
    </row>
    <row r="30" spans="1:25" x14ac:dyDescent="0.25">
      <c r="A30" s="3">
        <v>53</v>
      </c>
      <c r="B30" s="3" t="s">
        <v>25</v>
      </c>
      <c r="C30" s="4">
        <v>531106</v>
      </c>
      <c r="D30" s="5" t="s">
        <v>225</v>
      </c>
      <c r="E30" s="3">
        <v>5304</v>
      </c>
      <c r="F30" s="5" t="s">
        <v>172</v>
      </c>
      <c r="G30" s="3" t="s">
        <v>226</v>
      </c>
      <c r="H30" s="5" t="s">
        <v>227</v>
      </c>
      <c r="I30" s="5"/>
      <c r="J30" s="5" t="s">
        <v>228</v>
      </c>
      <c r="K30" s="5" t="s">
        <v>229</v>
      </c>
      <c r="L30" s="5" t="s">
        <v>78</v>
      </c>
      <c r="M30" s="5" t="s">
        <v>230</v>
      </c>
      <c r="N30" s="5" t="s">
        <v>231</v>
      </c>
      <c r="O30" s="5" t="s">
        <v>232</v>
      </c>
      <c r="P30" s="5" t="s">
        <v>39</v>
      </c>
      <c r="Q30" s="5" t="s">
        <v>99</v>
      </c>
      <c r="R30" s="5" t="s">
        <v>41</v>
      </c>
      <c r="S30" s="5" t="s">
        <v>52</v>
      </c>
      <c r="T30" s="5" t="s">
        <v>233</v>
      </c>
      <c r="U30" s="5">
        <v>5310</v>
      </c>
      <c r="V30" s="5" t="s">
        <v>27</v>
      </c>
      <c r="W30" s="6" t="s">
        <v>180</v>
      </c>
      <c r="X30" s="5" t="s">
        <v>234</v>
      </c>
      <c r="Y30" s="7"/>
    </row>
    <row r="31" spans="1:25" x14ac:dyDescent="0.25">
      <c r="A31" s="8">
        <v>53</v>
      </c>
      <c r="B31" s="8" t="s">
        <v>25</v>
      </c>
      <c r="C31" s="9">
        <v>531106</v>
      </c>
      <c r="D31" s="10" t="s">
        <v>225</v>
      </c>
      <c r="E31" s="8">
        <v>5304</v>
      </c>
      <c r="F31" s="10" t="s">
        <v>172</v>
      </c>
      <c r="G31" s="8" t="s">
        <v>226</v>
      </c>
      <c r="H31" s="10" t="s">
        <v>235</v>
      </c>
      <c r="I31" s="10"/>
      <c r="J31" s="10" t="s">
        <v>236</v>
      </c>
      <c r="K31" s="10" t="s">
        <v>237</v>
      </c>
      <c r="L31" s="10" t="s">
        <v>78</v>
      </c>
      <c r="M31" s="10" t="s">
        <v>230</v>
      </c>
      <c r="N31" s="10" t="s">
        <v>231</v>
      </c>
      <c r="O31" s="10" t="s">
        <v>232</v>
      </c>
      <c r="P31" s="10" t="s">
        <v>39</v>
      </c>
      <c r="Q31" s="10" t="s">
        <v>238</v>
      </c>
      <c r="R31" s="10" t="s">
        <v>239</v>
      </c>
      <c r="S31" s="10" t="s">
        <v>90</v>
      </c>
      <c r="T31" s="10" t="s">
        <v>240</v>
      </c>
      <c r="U31" s="10">
        <v>5310</v>
      </c>
      <c r="V31" s="10" t="s">
        <v>27</v>
      </c>
      <c r="W31" s="11" t="s">
        <v>180</v>
      </c>
      <c r="X31" s="10" t="s">
        <v>234</v>
      </c>
      <c r="Y31" s="12"/>
    </row>
    <row r="32" spans="1:25" x14ac:dyDescent="0.25">
      <c r="A32" s="3">
        <v>53</v>
      </c>
      <c r="B32" s="3" t="s">
        <v>25</v>
      </c>
      <c r="C32" s="4">
        <v>531106</v>
      </c>
      <c r="D32" s="5" t="s">
        <v>225</v>
      </c>
      <c r="E32" s="3">
        <v>5304</v>
      </c>
      <c r="F32" s="5" t="s">
        <v>172</v>
      </c>
      <c r="G32" s="3" t="s">
        <v>226</v>
      </c>
      <c r="H32" s="5" t="s">
        <v>241</v>
      </c>
      <c r="I32" s="5"/>
      <c r="J32" s="5" t="s">
        <v>242</v>
      </c>
      <c r="K32" s="5" t="s">
        <v>243</v>
      </c>
      <c r="L32" s="5" t="s">
        <v>78</v>
      </c>
      <c r="M32" s="5" t="s">
        <v>244</v>
      </c>
      <c r="N32" s="5" t="s">
        <v>245</v>
      </c>
      <c r="O32" s="5" t="s">
        <v>246</v>
      </c>
      <c r="P32" s="5" t="s">
        <v>39</v>
      </c>
      <c r="Q32" s="5" t="s">
        <v>247</v>
      </c>
      <c r="R32" s="5" t="s">
        <v>41</v>
      </c>
      <c r="S32" s="5" t="s">
        <v>248</v>
      </c>
      <c r="T32" s="5" t="s">
        <v>249</v>
      </c>
      <c r="U32" s="5">
        <v>5310</v>
      </c>
      <c r="V32" s="5" t="s">
        <v>27</v>
      </c>
      <c r="W32" s="6" t="s">
        <v>180</v>
      </c>
      <c r="X32" s="5" t="s">
        <v>234</v>
      </c>
      <c r="Y32" s="7"/>
    </row>
    <row r="33" spans="1:25" x14ac:dyDescent="0.25">
      <c r="A33" s="8">
        <v>53</v>
      </c>
      <c r="B33" s="8" t="s">
        <v>25</v>
      </c>
      <c r="C33" s="9">
        <v>531106</v>
      </c>
      <c r="D33" s="10" t="s">
        <v>225</v>
      </c>
      <c r="E33" s="8">
        <v>5304</v>
      </c>
      <c r="F33" s="10" t="s">
        <v>172</v>
      </c>
      <c r="G33" s="8" t="s">
        <v>226</v>
      </c>
      <c r="H33" s="10" t="s">
        <v>250</v>
      </c>
      <c r="I33" s="10"/>
      <c r="J33" s="10" t="s">
        <v>251</v>
      </c>
      <c r="K33" s="10" t="s">
        <v>252</v>
      </c>
      <c r="L33" s="10" t="s">
        <v>78</v>
      </c>
      <c r="M33" s="10" t="s">
        <v>161</v>
      </c>
      <c r="N33" s="10" t="s">
        <v>162</v>
      </c>
      <c r="O33" s="10" t="s">
        <v>98</v>
      </c>
      <c r="P33" s="10" t="s">
        <v>61</v>
      </c>
      <c r="Q33" s="10" t="s">
        <v>99</v>
      </c>
      <c r="R33" s="10" t="s">
        <v>41</v>
      </c>
      <c r="S33" s="10" t="s">
        <v>253</v>
      </c>
      <c r="T33" s="10" t="s">
        <v>240</v>
      </c>
      <c r="U33" s="10">
        <v>5310</v>
      </c>
      <c r="V33" s="10" t="s">
        <v>27</v>
      </c>
      <c r="W33" s="11" t="s">
        <v>180</v>
      </c>
      <c r="X33" s="10" t="s">
        <v>234</v>
      </c>
      <c r="Y33" s="12"/>
    </row>
    <row r="34" spans="1:25" x14ac:dyDescent="0.25">
      <c r="A34" s="3">
        <v>53</v>
      </c>
      <c r="B34" s="3" t="s">
        <v>25</v>
      </c>
      <c r="C34" s="4">
        <v>531106</v>
      </c>
      <c r="D34" s="5" t="s">
        <v>225</v>
      </c>
      <c r="E34" s="3">
        <v>5304</v>
      </c>
      <c r="F34" s="5" t="s">
        <v>172</v>
      </c>
      <c r="G34" s="3" t="s">
        <v>226</v>
      </c>
      <c r="H34" s="5" t="s">
        <v>254</v>
      </c>
      <c r="I34" s="5"/>
      <c r="J34" s="5" t="s">
        <v>255</v>
      </c>
      <c r="K34" s="5" t="s">
        <v>256</v>
      </c>
      <c r="L34" s="5" t="s">
        <v>78</v>
      </c>
      <c r="M34" s="5" t="s">
        <v>230</v>
      </c>
      <c r="N34" s="5" t="s">
        <v>231</v>
      </c>
      <c r="O34" s="5" t="s">
        <v>232</v>
      </c>
      <c r="P34" s="5" t="s">
        <v>39</v>
      </c>
      <c r="Q34" s="5" t="s">
        <v>99</v>
      </c>
      <c r="R34" s="5" t="s">
        <v>239</v>
      </c>
      <c r="S34" s="5" t="s">
        <v>90</v>
      </c>
      <c r="T34" s="5" t="s">
        <v>240</v>
      </c>
      <c r="U34" s="5">
        <v>5310</v>
      </c>
      <c r="V34" s="5" t="s">
        <v>27</v>
      </c>
      <c r="W34" s="6" t="s">
        <v>180</v>
      </c>
      <c r="X34" s="5" t="s">
        <v>234</v>
      </c>
      <c r="Y34" s="7"/>
    </row>
    <row r="35" spans="1:25" x14ac:dyDescent="0.25">
      <c r="A35" s="8">
        <v>53</v>
      </c>
      <c r="B35" s="8" t="s">
        <v>25</v>
      </c>
      <c r="C35" s="9">
        <v>531106</v>
      </c>
      <c r="D35" s="10" t="s">
        <v>225</v>
      </c>
      <c r="E35" s="8">
        <v>5304</v>
      </c>
      <c r="F35" s="10" t="s">
        <v>172</v>
      </c>
      <c r="G35" s="8" t="s">
        <v>226</v>
      </c>
      <c r="H35" s="10" t="s">
        <v>257</v>
      </c>
      <c r="I35" s="10"/>
      <c r="J35" s="10" t="s">
        <v>258</v>
      </c>
      <c r="K35" s="10" t="s">
        <v>259</v>
      </c>
      <c r="L35" s="10" t="s">
        <v>78</v>
      </c>
      <c r="M35" s="10" t="s">
        <v>36</v>
      </c>
      <c r="N35" s="10" t="s">
        <v>260</v>
      </c>
      <c r="O35" s="10" t="s">
        <v>38</v>
      </c>
      <c r="P35" s="10" t="s">
        <v>39</v>
      </c>
      <c r="Q35" s="10" t="s">
        <v>247</v>
      </c>
      <c r="R35" s="10" t="s">
        <v>100</v>
      </c>
      <c r="S35" s="10" t="s">
        <v>90</v>
      </c>
      <c r="T35" s="10" t="s">
        <v>240</v>
      </c>
      <c r="U35" s="10">
        <v>5310</v>
      </c>
      <c r="V35" s="10" t="s">
        <v>27</v>
      </c>
      <c r="W35" s="11" t="s">
        <v>180</v>
      </c>
      <c r="X35" s="10" t="s">
        <v>234</v>
      </c>
      <c r="Y35" s="12"/>
    </row>
    <row r="36" spans="1:25" x14ac:dyDescent="0.25">
      <c r="A36" s="3">
        <v>53</v>
      </c>
      <c r="B36" s="3" t="s">
        <v>25</v>
      </c>
      <c r="C36" s="4">
        <v>531106</v>
      </c>
      <c r="D36" s="5" t="s">
        <v>225</v>
      </c>
      <c r="E36" s="3">
        <v>5304</v>
      </c>
      <c r="F36" s="5" t="s">
        <v>172</v>
      </c>
      <c r="G36" s="3" t="s">
        <v>226</v>
      </c>
      <c r="H36" s="5" t="s">
        <v>261</v>
      </c>
      <c r="I36" s="5"/>
      <c r="J36" s="5" t="s">
        <v>262</v>
      </c>
      <c r="K36" s="5" t="s">
        <v>263</v>
      </c>
      <c r="L36" s="5" t="s">
        <v>78</v>
      </c>
      <c r="M36" s="5" t="s">
        <v>161</v>
      </c>
      <c r="N36" s="5" t="s">
        <v>162</v>
      </c>
      <c r="O36" s="5" t="s">
        <v>98</v>
      </c>
      <c r="P36" s="5" t="s">
        <v>39</v>
      </c>
      <c r="Q36" s="5" t="s">
        <v>108</v>
      </c>
      <c r="R36" s="5" t="s">
        <v>100</v>
      </c>
      <c r="S36" s="5" t="s">
        <v>264</v>
      </c>
      <c r="T36" s="5" t="s">
        <v>240</v>
      </c>
      <c r="U36" s="5">
        <v>5310</v>
      </c>
      <c r="V36" s="5" t="s">
        <v>27</v>
      </c>
      <c r="W36" s="6" t="s">
        <v>180</v>
      </c>
      <c r="X36" s="5" t="s">
        <v>234</v>
      </c>
      <c r="Y36" s="7"/>
    </row>
    <row r="37" spans="1:25" x14ac:dyDescent="0.25">
      <c r="A37" s="8">
        <v>53</v>
      </c>
      <c r="B37" s="8" t="s">
        <v>25</v>
      </c>
      <c r="C37" s="9">
        <v>531106</v>
      </c>
      <c r="D37" s="10" t="s">
        <v>225</v>
      </c>
      <c r="E37" s="8">
        <v>5304</v>
      </c>
      <c r="F37" s="10" t="s">
        <v>172</v>
      </c>
      <c r="G37" s="8" t="s">
        <v>226</v>
      </c>
      <c r="H37" s="10" t="s">
        <v>265</v>
      </c>
      <c r="I37" s="10"/>
      <c r="J37" s="10" t="s">
        <v>266</v>
      </c>
      <c r="K37" s="10" t="s">
        <v>267</v>
      </c>
      <c r="L37" s="10" t="s">
        <v>78</v>
      </c>
      <c r="M37" s="10" t="s">
        <v>268</v>
      </c>
      <c r="N37" s="10" t="s">
        <v>269</v>
      </c>
      <c r="O37" s="10" t="s">
        <v>270</v>
      </c>
      <c r="P37" s="10" t="s">
        <v>39</v>
      </c>
      <c r="Q37" s="10" t="s">
        <v>271</v>
      </c>
      <c r="R37" s="10" t="s">
        <v>100</v>
      </c>
      <c r="S37" s="10" t="s">
        <v>272</v>
      </c>
      <c r="T37" s="10" t="s">
        <v>273</v>
      </c>
      <c r="U37" s="10">
        <v>5310</v>
      </c>
      <c r="V37" s="10" t="s">
        <v>27</v>
      </c>
      <c r="W37" s="11" t="s">
        <v>180</v>
      </c>
      <c r="X37" s="10" t="s">
        <v>234</v>
      </c>
      <c r="Y37" s="12"/>
    </row>
    <row r="38" spans="1:25" x14ac:dyDescent="0.25">
      <c r="A38" s="3">
        <v>53</v>
      </c>
      <c r="B38" s="3" t="s">
        <v>25</v>
      </c>
      <c r="C38" s="4">
        <v>531106</v>
      </c>
      <c r="D38" s="5" t="s">
        <v>225</v>
      </c>
      <c r="E38" s="3">
        <v>5304</v>
      </c>
      <c r="F38" s="5" t="s">
        <v>172</v>
      </c>
      <c r="G38" s="3" t="s">
        <v>226</v>
      </c>
      <c r="H38" s="5" t="s">
        <v>274</v>
      </c>
      <c r="I38" s="5"/>
      <c r="J38" s="5" t="s">
        <v>275</v>
      </c>
      <c r="K38" s="5" t="s">
        <v>276</v>
      </c>
      <c r="L38" s="5" t="s">
        <v>78</v>
      </c>
      <c r="M38" s="5" t="s">
        <v>36</v>
      </c>
      <c r="N38" s="5" t="s">
        <v>37</v>
      </c>
      <c r="O38" s="5" t="s">
        <v>38</v>
      </c>
      <c r="P38" s="5" t="s">
        <v>39</v>
      </c>
      <c r="Q38" s="5" t="s">
        <v>108</v>
      </c>
      <c r="R38" s="5" t="s">
        <v>41</v>
      </c>
      <c r="S38" s="5" t="s">
        <v>137</v>
      </c>
      <c r="T38" s="5" t="s">
        <v>277</v>
      </c>
      <c r="U38" s="5">
        <v>5310</v>
      </c>
      <c r="V38" s="5" t="s">
        <v>27</v>
      </c>
      <c r="W38" s="6" t="s">
        <v>180</v>
      </c>
      <c r="X38" s="5" t="s">
        <v>234</v>
      </c>
      <c r="Y38" s="7"/>
    </row>
    <row r="39" spans="1:25" x14ac:dyDescent="0.25">
      <c r="A39" s="8">
        <v>53</v>
      </c>
      <c r="B39" s="8" t="s">
        <v>25</v>
      </c>
      <c r="C39" s="9">
        <v>531106</v>
      </c>
      <c r="D39" s="10" t="s">
        <v>225</v>
      </c>
      <c r="E39" s="8">
        <v>5304</v>
      </c>
      <c r="F39" s="10" t="s">
        <v>172</v>
      </c>
      <c r="G39" s="8" t="s">
        <v>226</v>
      </c>
      <c r="H39" s="10" t="s">
        <v>278</v>
      </c>
      <c r="I39" s="10"/>
      <c r="J39" s="10" t="s">
        <v>279</v>
      </c>
      <c r="K39" s="10" t="s">
        <v>280</v>
      </c>
      <c r="L39" s="10" t="s">
        <v>78</v>
      </c>
      <c r="M39" s="10" t="s">
        <v>161</v>
      </c>
      <c r="N39" s="10" t="s">
        <v>162</v>
      </c>
      <c r="O39" s="10" t="s">
        <v>98</v>
      </c>
      <c r="P39" s="10" t="s">
        <v>39</v>
      </c>
      <c r="Q39" s="10" t="s">
        <v>99</v>
      </c>
      <c r="R39" s="10" t="s">
        <v>41</v>
      </c>
      <c r="S39" s="10" t="s">
        <v>137</v>
      </c>
      <c r="T39" s="10" t="s">
        <v>273</v>
      </c>
      <c r="U39" s="10">
        <v>5310</v>
      </c>
      <c r="V39" s="10" t="s">
        <v>27</v>
      </c>
      <c r="W39" s="11" t="s">
        <v>180</v>
      </c>
      <c r="X39" s="10" t="s">
        <v>234</v>
      </c>
      <c r="Y39" s="12"/>
    </row>
    <row r="40" spans="1:25" x14ac:dyDescent="0.25">
      <c r="A40" s="3">
        <v>53</v>
      </c>
      <c r="B40" s="3" t="s">
        <v>25</v>
      </c>
      <c r="C40" s="4">
        <v>531110</v>
      </c>
      <c r="D40" s="5" t="s">
        <v>281</v>
      </c>
      <c r="E40" s="3">
        <v>5304</v>
      </c>
      <c r="F40" s="5" t="s">
        <v>172</v>
      </c>
      <c r="G40" s="3" t="s">
        <v>31</v>
      </c>
      <c r="H40" s="5" t="s">
        <v>282</v>
      </c>
      <c r="I40" s="5"/>
      <c r="J40" s="5" t="s">
        <v>283</v>
      </c>
      <c r="K40" s="5" t="s">
        <v>284</v>
      </c>
      <c r="L40" s="5" t="s">
        <v>78</v>
      </c>
      <c r="M40" s="5" t="s">
        <v>68</v>
      </c>
      <c r="N40" s="5" t="s">
        <v>285</v>
      </c>
      <c r="O40" s="5" t="s">
        <v>286</v>
      </c>
      <c r="P40" s="5" t="s">
        <v>39</v>
      </c>
      <c r="Q40" s="5" t="s">
        <v>287</v>
      </c>
      <c r="R40" s="5" t="s">
        <v>41</v>
      </c>
      <c r="S40" s="5" t="s">
        <v>42</v>
      </c>
      <c r="T40" s="5" t="s">
        <v>43</v>
      </c>
      <c r="U40" s="5">
        <v>5310</v>
      </c>
      <c r="V40" s="5" t="s">
        <v>27</v>
      </c>
      <c r="W40" s="6" t="s">
        <v>44</v>
      </c>
      <c r="X40" s="5" t="s">
        <v>288</v>
      </c>
      <c r="Y40" s="7"/>
    </row>
    <row r="41" spans="1:25" x14ac:dyDescent="0.25">
      <c r="A41" s="8">
        <v>53</v>
      </c>
      <c r="B41" s="8" t="s">
        <v>25</v>
      </c>
      <c r="C41" s="9">
        <v>531110</v>
      </c>
      <c r="D41" s="10" t="s">
        <v>281</v>
      </c>
      <c r="E41" s="8">
        <v>5304</v>
      </c>
      <c r="F41" s="10" t="s">
        <v>172</v>
      </c>
      <c r="G41" s="8" t="s">
        <v>31</v>
      </c>
      <c r="H41" s="10" t="s">
        <v>289</v>
      </c>
      <c r="I41" s="10"/>
      <c r="J41" s="10" t="s">
        <v>290</v>
      </c>
      <c r="K41" s="10" t="s">
        <v>291</v>
      </c>
      <c r="L41" s="10" t="s">
        <v>35</v>
      </c>
      <c r="M41" s="10" t="s">
        <v>68</v>
      </c>
      <c r="N41" s="10" t="s">
        <v>285</v>
      </c>
      <c r="O41" s="10" t="s">
        <v>292</v>
      </c>
      <c r="P41" s="10" t="s">
        <v>39</v>
      </c>
      <c r="Q41" s="10" t="s">
        <v>287</v>
      </c>
      <c r="R41" s="10" t="s">
        <v>41</v>
      </c>
      <c r="S41" s="10" t="s">
        <v>42</v>
      </c>
      <c r="T41" s="10" t="s">
        <v>43</v>
      </c>
      <c r="U41" s="10">
        <v>5310</v>
      </c>
      <c r="V41" s="10" t="s">
        <v>27</v>
      </c>
      <c r="W41" s="11" t="s">
        <v>44</v>
      </c>
      <c r="X41" s="10" t="s">
        <v>288</v>
      </c>
      <c r="Y41" s="12"/>
    </row>
    <row r="42" spans="1:25" x14ac:dyDescent="0.25">
      <c r="A42" s="3">
        <v>53</v>
      </c>
      <c r="B42" s="3" t="s">
        <v>25</v>
      </c>
      <c r="C42" s="4">
        <v>533810</v>
      </c>
      <c r="D42" s="5" t="s">
        <v>293</v>
      </c>
      <c r="E42" s="3">
        <v>5305</v>
      </c>
      <c r="F42" s="5" t="s">
        <v>294</v>
      </c>
      <c r="G42" s="3" t="s">
        <v>55</v>
      </c>
      <c r="H42" s="5" t="s">
        <v>295</v>
      </c>
      <c r="I42" s="5"/>
      <c r="J42" s="5" t="s">
        <v>296</v>
      </c>
      <c r="K42" s="5" t="s">
        <v>297</v>
      </c>
      <c r="L42" s="5" t="s">
        <v>78</v>
      </c>
      <c r="M42" s="5" t="s">
        <v>244</v>
      </c>
      <c r="N42" s="5" t="s">
        <v>245</v>
      </c>
      <c r="O42" s="5" t="s">
        <v>246</v>
      </c>
      <c r="P42" s="5" t="s">
        <v>39</v>
      </c>
      <c r="Q42" s="5" t="s">
        <v>298</v>
      </c>
      <c r="R42" s="5" t="s">
        <v>41</v>
      </c>
      <c r="S42" s="5" t="s">
        <v>137</v>
      </c>
      <c r="T42" s="5" t="s">
        <v>299</v>
      </c>
      <c r="U42" s="5">
        <v>5310</v>
      </c>
      <c r="V42" s="5" t="s">
        <v>27</v>
      </c>
      <c r="W42" s="6" t="s">
        <v>44</v>
      </c>
      <c r="X42" s="5" t="s">
        <v>300</v>
      </c>
      <c r="Y42" s="7"/>
    </row>
    <row r="43" spans="1:25" x14ac:dyDescent="0.25">
      <c r="A43" s="8">
        <v>53</v>
      </c>
      <c r="B43" s="8" t="s">
        <v>25</v>
      </c>
      <c r="C43" s="9">
        <v>533810</v>
      </c>
      <c r="D43" s="10" t="s">
        <v>293</v>
      </c>
      <c r="E43" s="8">
        <v>5305</v>
      </c>
      <c r="F43" s="10" t="s">
        <v>294</v>
      </c>
      <c r="G43" s="8" t="s">
        <v>55</v>
      </c>
      <c r="H43" s="10" t="s">
        <v>301</v>
      </c>
      <c r="I43" s="10"/>
      <c r="J43" s="10" t="s">
        <v>302</v>
      </c>
      <c r="K43" s="10" t="s">
        <v>303</v>
      </c>
      <c r="L43" s="10" t="s">
        <v>35</v>
      </c>
      <c r="M43" s="10" t="s">
        <v>68</v>
      </c>
      <c r="N43" s="10" t="s">
        <v>79</v>
      </c>
      <c r="O43" s="10" t="s">
        <v>304</v>
      </c>
      <c r="P43" s="10" t="s">
        <v>39</v>
      </c>
      <c r="Q43" s="10" t="s">
        <v>81</v>
      </c>
      <c r="R43" s="10" t="s">
        <v>41</v>
      </c>
      <c r="S43" s="10" t="s">
        <v>137</v>
      </c>
      <c r="T43" s="10" t="s">
        <v>43</v>
      </c>
      <c r="U43" s="10">
        <v>5310</v>
      </c>
      <c r="V43" s="10" t="s">
        <v>27</v>
      </c>
      <c r="W43" s="11" t="s">
        <v>44</v>
      </c>
      <c r="X43" s="10" t="s">
        <v>300</v>
      </c>
      <c r="Y43" s="12"/>
    </row>
    <row r="44" spans="1:25" x14ac:dyDescent="0.25">
      <c r="A44" s="3">
        <v>53</v>
      </c>
      <c r="B44" s="3" t="s">
        <v>25</v>
      </c>
      <c r="C44" s="4">
        <v>536231</v>
      </c>
      <c r="D44" s="5" t="s">
        <v>305</v>
      </c>
      <c r="E44" s="3">
        <v>5306</v>
      </c>
      <c r="F44" s="5" t="s">
        <v>306</v>
      </c>
      <c r="G44" s="3" t="s">
        <v>55</v>
      </c>
      <c r="H44" s="5" t="s">
        <v>307</v>
      </c>
      <c r="I44" s="5"/>
      <c r="J44" s="5" t="s">
        <v>308</v>
      </c>
      <c r="K44" s="5" t="s">
        <v>309</v>
      </c>
      <c r="L44" s="5" t="s">
        <v>35</v>
      </c>
      <c r="M44" s="5" t="s">
        <v>244</v>
      </c>
      <c r="N44" s="5" t="s">
        <v>245</v>
      </c>
      <c r="O44" s="5" t="s">
        <v>246</v>
      </c>
      <c r="P44" s="5" t="s">
        <v>199</v>
      </c>
      <c r="Q44" s="5" t="s">
        <v>247</v>
      </c>
      <c r="R44" s="5" t="s">
        <v>41</v>
      </c>
      <c r="S44" s="5" t="s">
        <v>52</v>
      </c>
      <c r="T44" s="5" t="s">
        <v>43</v>
      </c>
      <c r="U44" s="5">
        <v>5310</v>
      </c>
      <c r="V44" s="5" t="s">
        <v>27</v>
      </c>
      <c r="W44" s="6" t="s">
        <v>44</v>
      </c>
      <c r="X44" s="5" t="s">
        <v>310</v>
      </c>
      <c r="Y44" s="7"/>
    </row>
    <row r="45" spans="1:25" x14ac:dyDescent="0.25">
      <c r="A45" s="8">
        <v>53</v>
      </c>
      <c r="B45" s="8" t="s">
        <v>25</v>
      </c>
      <c r="C45" s="9">
        <v>533150</v>
      </c>
      <c r="D45" s="10" t="s">
        <v>311</v>
      </c>
      <c r="E45" s="8">
        <v>5306</v>
      </c>
      <c r="F45" s="10" t="s">
        <v>306</v>
      </c>
      <c r="G45" s="8" t="s">
        <v>55</v>
      </c>
      <c r="H45" s="10" t="s">
        <v>312</v>
      </c>
      <c r="I45" s="10"/>
      <c r="J45" s="10" t="s">
        <v>313</v>
      </c>
      <c r="K45" s="10" t="s">
        <v>314</v>
      </c>
      <c r="L45" s="10" t="s">
        <v>35</v>
      </c>
      <c r="M45" s="10" t="s">
        <v>68</v>
      </c>
      <c r="N45" s="10" t="s">
        <v>79</v>
      </c>
      <c r="O45" s="10" t="s">
        <v>315</v>
      </c>
      <c r="P45" s="10" t="s">
        <v>39</v>
      </c>
      <c r="Q45" s="10" t="s">
        <v>81</v>
      </c>
      <c r="R45" s="10" t="s">
        <v>41</v>
      </c>
      <c r="S45" s="10" t="s">
        <v>52</v>
      </c>
      <c r="T45" s="10" t="s">
        <v>43</v>
      </c>
      <c r="U45" s="10">
        <v>5310</v>
      </c>
      <c r="V45" s="10" t="s">
        <v>27</v>
      </c>
      <c r="W45" s="11" t="s">
        <v>44</v>
      </c>
      <c r="X45" s="10" t="s">
        <v>316</v>
      </c>
      <c r="Y45" s="12"/>
    </row>
    <row r="46" spans="1:25" x14ac:dyDescent="0.25">
      <c r="A46" s="3">
        <v>53</v>
      </c>
      <c r="B46" s="3" t="s">
        <v>25</v>
      </c>
      <c r="C46" s="4">
        <v>533250</v>
      </c>
      <c r="D46" s="5" t="s">
        <v>317</v>
      </c>
      <c r="E46" s="3">
        <v>5306</v>
      </c>
      <c r="F46" s="5" t="s">
        <v>306</v>
      </c>
      <c r="G46" s="3" t="s">
        <v>55</v>
      </c>
      <c r="H46" s="5" t="s">
        <v>318</v>
      </c>
      <c r="I46" s="5"/>
      <c r="J46" s="5" t="s">
        <v>319</v>
      </c>
      <c r="K46" s="5" t="s">
        <v>320</v>
      </c>
      <c r="L46" s="5" t="s">
        <v>35</v>
      </c>
      <c r="M46" s="5" t="s">
        <v>161</v>
      </c>
      <c r="N46" s="5" t="s">
        <v>162</v>
      </c>
      <c r="O46" s="5" t="s">
        <v>98</v>
      </c>
      <c r="P46" s="5" t="s">
        <v>39</v>
      </c>
      <c r="Q46" s="5" t="s">
        <v>99</v>
      </c>
      <c r="R46" s="5" t="s">
        <v>41</v>
      </c>
      <c r="S46" s="5" t="s">
        <v>82</v>
      </c>
      <c r="T46" s="5" t="s">
        <v>43</v>
      </c>
      <c r="U46" s="5">
        <v>5310</v>
      </c>
      <c r="V46" s="5" t="s">
        <v>27</v>
      </c>
      <c r="W46" s="6" t="s">
        <v>44</v>
      </c>
      <c r="X46" s="5" t="s">
        <v>321</v>
      </c>
      <c r="Y46" s="7"/>
    </row>
    <row r="47" spans="1:25" x14ac:dyDescent="0.25">
      <c r="A47" s="8">
        <v>53</v>
      </c>
      <c r="B47" s="8" t="s">
        <v>25</v>
      </c>
      <c r="C47" s="9">
        <v>533250</v>
      </c>
      <c r="D47" s="10" t="s">
        <v>317</v>
      </c>
      <c r="E47" s="8">
        <v>5306</v>
      </c>
      <c r="F47" s="10" t="s">
        <v>306</v>
      </c>
      <c r="G47" s="8" t="s">
        <v>55</v>
      </c>
      <c r="H47" s="10" t="s">
        <v>322</v>
      </c>
      <c r="I47" s="10"/>
      <c r="J47" s="10" t="s">
        <v>323</v>
      </c>
      <c r="K47" s="10" t="s">
        <v>324</v>
      </c>
      <c r="L47" s="10" t="s">
        <v>35</v>
      </c>
      <c r="M47" s="10" t="s">
        <v>68</v>
      </c>
      <c r="N47" s="10" t="s">
        <v>167</v>
      </c>
      <c r="O47" s="10" t="s">
        <v>325</v>
      </c>
      <c r="P47" s="10" t="s">
        <v>39</v>
      </c>
      <c r="Q47" s="10" t="s">
        <v>190</v>
      </c>
      <c r="R47" s="10" t="s">
        <v>41</v>
      </c>
      <c r="S47" s="10" t="s">
        <v>52</v>
      </c>
      <c r="T47" s="10" t="s">
        <v>43</v>
      </c>
      <c r="U47" s="10">
        <v>5310</v>
      </c>
      <c r="V47" s="10" t="s">
        <v>27</v>
      </c>
      <c r="W47" s="11" t="s">
        <v>44</v>
      </c>
      <c r="X47" s="10" t="s">
        <v>321</v>
      </c>
      <c r="Y47" s="12"/>
    </row>
    <row r="48" spans="1:25" x14ac:dyDescent="0.25">
      <c r="A48" s="3">
        <v>53</v>
      </c>
      <c r="B48" s="3" t="s">
        <v>25</v>
      </c>
      <c r="C48" s="4">
        <v>532760</v>
      </c>
      <c r="D48" s="5" t="s">
        <v>326</v>
      </c>
      <c r="E48" s="3">
        <v>5307</v>
      </c>
      <c r="F48" s="5" t="s">
        <v>327</v>
      </c>
      <c r="G48" s="3" t="s">
        <v>31</v>
      </c>
      <c r="H48" s="5" t="s">
        <v>328</v>
      </c>
      <c r="I48" s="5"/>
      <c r="J48" s="5" t="s">
        <v>329</v>
      </c>
      <c r="K48" s="5" t="s">
        <v>330</v>
      </c>
      <c r="L48" s="5" t="s">
        <v>78</v>
      </c>
      <c r="M48" s="5" t="s">
        <v>161</v>
      </c>
      <c r="N48" s="5" t="s">
        <v>162</v>
      </c>
      <c r="O48" s="5" t="s">
        <v>98</v>
      </c>
      <c r="P48" s="5" t="s">
        <v>39</v>
      </c>
      <c r="Q48" s="5" t="s">
        <v>99</v>
      </c>
      <c r="R48" s="5" t="s">
        <v>41</v>
      </c>
      <c r="S48" s="5" t="s">
        <v>331</v>
      </c>
      <c r="T48" s="5" t="s">
        <v>43</v>
      </c>
      <c r="U48" s="5">
        <v>5310</v>
      </c>
      <c r="V48" s="5" t="s">
        <v>27</v>
      </c>
      <c r="W48" s="6" t="s">
        <v>44</v>
      </c>
      <c r="X48" s="5" t="s">
        <v>332</v>
      </c>
      <c r="Y48" s="7"/>
    </row>
    <row r="49" spans="1:25" x14ac:dyDescent="0.25">
      <c r="A49" s="8">
        <v>53</v>
      </c>
      <c r="B49" s="8" t="s">
        <v>25</v>
      </c>
      <c r="C49" s="9">
        <v>532760</v>
      </c>
      <c r="D49" s="10" t="s">
        <v>326</v>
      </c>
      <c r="E49" s="8">
        <v>5307</v>
      </c>
      <c r="F49" s="10" t="s">
        <v>327</v>
      </c>
      <c r="G49" s="8" t="s">
        <v>31</v>
      </c>
      <c r="H49" s="15" t="s">
        <v>333</v>
      </c>
      <c r="I49" s="14">
        <f ca="1">IF(H49="", "", IF(OR(I49="", I49=0), NOW(), I49))</f>
        <v>46244.356492361112</v>
      </c>
      <c r="J49" s="5" t="s">
        <v>334</v>
      </c>
      <c r="K49" s="10" t="s">
        <v>330</v>
      </c>
      <c r="L49" s="10" t="s">
        <v>78</v>
      </c>
      <c r="M49" s="10" t="s">
        <v>161</v>
      </c>
      <c r="N49" s="10" t="s">
        <v>162</v>
      </c>
      <c r="O49" s="10" t="s">
        <v>98</v>
      </c>
      <c r="P49" s="10" t="s">
        <v>39</v>
      </c>
      <c r="Q49" s="10" t="s">
        <v>99</v>
      </c>
      <c r="R49" s="10" t="s">
        <v>41</v>
      </c>
      <c r="S49" s="10" t="s">
        <v>331</v>
      </c>
      <c r="T49" s="10" t="s">
        <v>43</v>
      </c>
      <c r="U49" s="10">
        <v>5310</v>
      </c>
      <c r="V49" s="10" t="s">
        <v>27</v>
      </c>
      <c r="W49" s="11" t="s">
        <v>44</v>
      </c>
      <c r="X49" s="10" t="s">
        <v>332</v>
      </c>
      <c r="Y49" s="12"/>
    </row>
    <row r="50" spans="1:25" x14ac:dyDescent="0.25">
      <c r="A50" s="3">
        <v>53</v>
      </c>
      <c r="B50" s="3" t="s">
        <v>25</v>
      </c>
      <c r="C50" s="4">
        <v>535550</v>
      </c>
      <c r="D50" s="5" t="s">
        <v>335</v>
      </c>
      <c r="E50" s="3">
        <v>5307</v>
      </c>
      <c r="F50" s="5" t="s">
        <v>327</v>
      </c>
      <c r="G50" s="3" t="s">
        <v>55</v>
      </c>
      <c r="H50" s="5" t="s">
        <v>336</v>
      </c>
      <c r="I50" s="5"/>
      <c r="J50" s="5" t="s">
        <v>337</v>
      </c>
      <c r="K50" s="5" t="s">
        <v>338</v>
      </c>
      <c r="L50" s="5" t="s">
        <v>78</v>
      </c>
      <c r="M50" s="5" t="s">
        <v>36</v>
      </c>
      <c r="N50" s="5" t="s">
        <v>260</v>
      </c>
      <c r="O50" s="5" t="s">
        <v>38</v>
      </c>
      <c r="P50" s="5" t="s">
        <v>39</v>
      </c>
      <c r="Q50" s="5" t="s">
        <v>247</v>
      </c>
      <c r="R50" s="5" t="s">
        <v>100</v>
      </c>
      <c r="S50" s="5" t="s">
        <v>90</v>
      </c>
      <c r="T50" s="5" t="s">
        <v>43</v>
      </c>
      <c r="U50" s="5">
        <v>5310</v>
      </c>
      <c r="V50" s="5" t="s">
        <v>27</v>
      </c>
      <c r="W50" s="6" t="s">
        <v>44</v>
      </c>
      <c r="X50" s="5" t="s">
        <v>339</v>
      </c>
      <c r="Y50" s="7"/>
    </row>
    <row r="51" spans="1:25" x14ac:dyDescent="0.25">
      <c r="A51" s="8">
        <v>53</v>
      </c>
      <c r="B51" s="8" t="s">
        <v>25</v>
      </c>
      <c r="C51" s="9">
        <v>532920</v>
      </c>
      <c r="D51" s="10" t="s">
        <v>340</v>
      </c>
      <c r="E51" s="8">
        <v>5307</v>
      </c>
      <c r="F51" s="10" t="s">
        <v>327</v>
      </c>
      <c r="G51" s="8" t="s">
        <v>55</v>
      </c>
      <c r="H51" s="10" t="s">
        <v>341</v>
      </c>
      <c r="I51" s="10"/>
      <c r="J51" s="10" t="s">
        <v>342</v>
      </c>
      <c r="K51" s="10" t="s">
        <v>343</v>
      </c>
      <c r="L51" s="10" t="s">
        <v>35</v>
      </c>
      <c r="M51" s="10" t="s">
        <v>36</v>
      </c>
      <c r="N51" s="10" t="s">
        <v>260</v>
      </c>
      <c r="O51" s="10" t="s">
        <v>38</v>
      </c>
      <c r="P51" s="10" t="s">
        <v>39</v>
      </c>
      <c r="Q51" s="10" t="s">
        <v>247</v>
      </c>
      <c r="R51" s="10" t="s">
        <v>100</v>
      </c>
      <c r="S51" s="10" t="s">
        <v>90</v>
      </c>
      <c r="T51" s="10" t="s">
        <v>43</v>
      </c>
      <c r="U51" s="10">
        <v>5310</v>
      </c>
      <c r="V51" s="10" t="s">
        <v>27</v>
      </c>
      <c r="W51" s="11" t="s">
        <v>44</v>
      </c>
      <c r="X51" s="10" t="s">
        <v>344</v>
      </c>
      <c r="Y51" s="12"/>
    </row>
    <row r="52" spans="1:25" x14ac:dyDescent="0.25">
      <c r="A52" s="3">
        <v>53</v>
      </c>
      <c r="B52" s="3" t="s">
        <v>25</v>
      </c>
      <c r="C52" s="4">
        <v>535570</v>
      </c>
      <c r="D52" s="5" t="s">
        <v>345</v>
      </c>
      <c r="E52" s="3">
        <v>5307</v>
      </c>
      <c r="F52" s="5" t="s">
        <v>327</v>
      </c>
      <c r="G52" s="3" t="s">
        <v>55</v>
      </c>
      <c r="H52" s="5" t="s">
        <v>346</v>
      </c>
      <c r="I52" s="5"/>
      <c r="J52" s="5" t="s">
        <v>347</v>
      </c>
      <c r="K52" s="5" t="s">
        <v>348</v>
      </c>
      <c r="L52" s="5" t="s">
        <v>78</v>
      </c>
      <c r="M52" s="5" t="s">
        <v>68</v>
      </c>
      <c r="N52" s="5" t="s">
        <v>167</v>
      </c>
      <c r="O52" s="5" t="s">
        <v>349</v>
      </c>
      <c r="P52" s="5" t="s">
        <v>61</v>
      </c>
      <c r="Q52" s="5" t="s">
        <v>190</v>
      </c>
      <c r="R52" s="5" t="s">
        <v>41</v>
      </c>
      <c r="S52" s="5" t="s">
        <v>52</v>
      </c>
      <c r="T52" s="5" t="s">
        <v>43</v>
      </c>
      <c r="U52" s="5">
        <v>5310</v>
      </c>
      <c r="V52" s="5" t="s">
        <v>27</v>
      </c>
      <c r="W52" s="6" t="s">
        <v>44</v>
      </c>
      <c r="X52" s="5" t="s">
        <v>350</v>
      </c>
      <c r="Y52" s="7"/>
    </row>
    <row r="53" spans="1:25" x14ac:dyDescent="0.25">
      <c r="A53" s="8">
        <v>53</v>
      </c>
      <c r="B53" s="8" t="s">
        <v>25</v>
      </c>
      <c r="C53" s="9">
        <v>532950</v>
      </c>
      <c r="D53" s="10" t="s">
        <v>351</v>
      </c>
      <c r="E53" s="8">
        <v>5308</v>
      </c>
      <c r="F53" s="10" t="s">
        <v>352</v>
      </c>
      <c r="G53" s="8" t="s">
        <v>31</v>
      </c>
      <c r="H53" s="10" t="s">
        <v>353</v>
      </c>
      <c r="I53" s="10"/>
      <c r="J53" s="10" t="s">
        <v>354</v>
      </c>
      <c r="K53" s="10" t="s">
        <v>34</v>
      </c>
      <c r="L53" s="10" t="s">
        <v>78</v>
      </c>
      <c r="M53" s="10" t="s">
        <v>36</v>
      </c>
      <c r="N53" s="10" t="s">
        <v>37</v>
      </c>
      <c r="O53" s="10" t="s">
        <v>38</v>
      </c>
      <c r="P53" s="10" t="s">
        <v>39</v>
      </c>
      <c r="Q53" s="10" t="s">
        <v>108</v>
      </c>
      <c r="R53" s="10" t="s">
        <v>41</v>
      </c>
      <c r="S53" s="10" t="s">
        <v>82</v>
      </c>
      <c r="T53" s="10" t="s">
        <v>43</v>
      </c>
      <c r="U53" s="10">
        <v>5310</v>
      </c>
      <c r="V53" s="10" t="s">
        <v>27</v>
      </c>
      <c r="W53" s="11" t="s">
        <v>44</v>
      </c>
      <c r="X53" s="10" t="s">
        <v>355</v>
      </c>
      <c r="Y53" s="12"/>
    </row>
    <row r="54" spans="1:25" x14ac:dyDescent="0.25">
      <c r="A54" s="3">
        <v>53</v>
      </c>
      <c r="B54" s="3" t="s">
        <v>25</v>
      </c>
      <c r="C54" s="4">
        <v>535530</v>
      </c>
      <c r="D54" s="5" t="s">
        <v>356</v>
      </c>
      <c r="E54" s="3">
        <v>5308</v>
      </c>
      <c r="F54" s="5" t="s">
        <v>352</v>
      </c>
      <c r="G54" s="3" t="s">
        <v>55</v>
      </c>
      <c r="H54" s="5" t="s">
        <v>357</v>
      </c>
      <c r="I54" s="5"/>
      <c r="J54" s="5" t="s">
        <v>358</v>
      </c>
      <c r="K54" s="5" t="s">
        <v>359</v>
      </c>
      <c r="L54" s="5" t="s">
        <v>78</v>
      </c>
      <c r="M54" s="5" t="s">
        <v>161</v>
      </c>
      <c r="N54" s="5" t="s">
        <v>162</v>
      </c>
      <c r="O54" s="5" t="s">
        <v>98</v>
      </c>
      <c r="P54" s="5" t="s">
        <v>61</v>
      </c>
      <c r="Q54" s="5" t="s">
        <v>99</v>
      </c>
      <c r="R54" s="5" t="s">
        <v>41</v>
      </c>
      <c r="S54" s="5" t="s">
        <v>90</v>
      </c>
      <c r="T54" s="5" t="s">
        <v>360</v>
      </c>
      <c r="U54" s="5">
        <v>5310</v>
      </c>
      <c r="V54" s="5" t="s">
        <v>27</v>
      </c>
      <c r="W54" s="6" t="s">
        <v>44</v>
      </c>
      <c r="X54" s="5" t="s">
        <v>361</v>
      </c>
      <c r="Y54" s="7"/>
    </row>
    <row r="55" spans="1:25" x14ac:dyDescent="0.25">
      <c r="A55" s="8">
        <v>53</v>
      </c>
      <c r="B55" s="8" t="s">
        <v>25</v>
      </c>
      <c r="C55" s="9">
        <v>535530</v>
      </c>
      <c r="D55" s="10" t="s">
        <v>356</v>
      </c>
      <c r="E55" s="8">
        <v>5308</v>
      </c>
      <c r="F55" s="10" t="s">
        <v>352</v>
      </c>
      <c r="G55" s="8" t="s">
        <v>55</v>
      </c>
      <c r="H55" s="10" t="s">
        <v>362</v>
      </c>
      <c r="I55" s="10"/>
      <c r="J55" s="10" t="s">
        <v>363</v>
      </c>
      <c r="K55" s="10" t="s">
        <v>34</v>
      </c>
      <c r="L55" s="10" t="s">
        <v>78</v>
      </c>
      <c r="M55" s="10" t="s">
        <v>161</v>
      </c>
      <c r="N55" s="10" t="s">
        <v>162</v>
      </c>
      <c r="O55" s="10" t="s">
        <v>98</v>
      </c>
      <c r="P55" s="10" t="s">
        <v>61</v>
      </c>
      <c r="Q55" s="10" t="s">
        <v>81</v>
      </c>
      <c r="R55" s="10" t="s">
        <v>41</v>
      </c>
      <c r="S55" s="10" t="s">
        <v>52</v>
      </c>
      <c r="T55" s="10" t="s">
        <v>43</v>
      </c>
      <c r="U55" s="10">
        <v>5310</v>
      </c>
      <c r="V55" s="10" t="s">
        <v>27</v>
      </c>
      <c r="W55" s="11" t="s">
        <v>44</v>
      </c>
      <c r="X55" s="10" t="s">
        <v>361</v>
      </c>
      <c r="Y55" s="12"/>
    </row>
    <row r="56" spans="1:25" x14ac:dyDescent="0.25">
      <c r="A56" s="3">
        <v>53</v>
      </c>
      <c r="B56" s="3" t="s">
        <v>25</v>
      </c>
      <c r="C56" s="4">
        <v>536200</v>
      </c>
      <c r="D56" s="5" t="s">
        <v>364</v>
      </c>
      <c r="E56" s="3">
        <v>5312</v>
      </c>
      <c r="F56" s="5" t="s">
        <v>365</v>
      </c>
      <c r="G56" s="3" t="s">
        <v>31</v>
      </c>
      <c r="H56" s="5" t="s">
        <v>366</v>
      </c>
      <c r="I56" s="5"/>
      <c r="J56" s="5" t="s">
        <v>367</v>
      </c>
      <c r="K56" s="5" t="s">
        <v>368</v>
      </c>
      <c r="L56" s="5" t="s">
        <v>35</v>
      </c>
      <c r="M56" s="5" t="s">
        <v>125</v>
      </c>
      <c r="N56" s="5" t="s">
        <v>126</v>
      </c>
      <c r="O56" s="5" t="s">
        <v>369</v>
      </c>
      <c r="P56" s="5" t="s">
        <v>39</v>
      </c>
      <c r="Q56" s="5" t="s">
        <v>129</v>
      </c>
      <c r="R56" s="5" t="s">
        <v>41</v>
      </c>
      <c r="S56" s="5" t="s">
        <v>42</v>
      </c>
      <c r="T56" s="5" t="s">
        <v>43</v>
      </c>
      <c r="U56" s="5">
        <v>5361</v>
      </c>
      <c r="V56" s="5" t="s">
        <v>370</v>
      </c>
      <c r="W56" s="6" t="s">
        <v>371</v>
      </c>
      <c r="X56" s="5" t="s">
        <v>372</v>
      </c>
      <c r="Y56" s="7"/>
    </row>
    <row r="57" spans="1:25" x14ac:dyDescent="0.25">
      <c r="A57" s="8">
        <v>53</v>
      </c>
      <c r="B57" s="8" t="s">
        <v>25</v>
      </c>
      <c r="C57" s="9">
        <v>536210</v>
      </c>
      <c r="D57" s="10" t="s">
        <v>373</v>
      </c>
      <c r="E57" s="8">
        <v>5312</v>
      </c>
      <c r="F57" s="10" t="s">
        <v>365</v>
      </c>
      <c r="G57" s="8" t="s">
        <v>55</v>
      </c>
      <c r="H57" s="10" t="s">
        <v>374</v>
      </c>
      <c r="I57" s="10"/>
      <c r="J57" s="10" t="s">
        <v>375</v>
      </c>
      <c r="K57" s="10" t="s">
        <v>376</v>
      </c>
      <c r="L57" s="10" t="s">
        <v>35</v>
      </c>
      <c r="M57" s="10" t="s">
        <v>377</v>
      </c>
      <c r="N57" s="10" t="s">
        <v>378</v>
      </c>
      <c r="O57" s="10" t="s">
        <v>379</v>
      </c>
      <c r="P57" s="10" t="s">
        <v>39</v>
      </c>
      <c r="Q57" s="10" t="s">
        <v>380</v>
      </c>
      <c r="R57" s="10" t="s">
        <v>41</v>
      </c>
      <c r="S57" s="10" t="s">
        <v>82</v>
      </c>
      <c r="T57" s="10" t="s">
        <v>43</v>
      </c>
      <c r="U57" s="10">
        <v>5361</v>
      </c>
      <c r="V57" s="10" t="s">
        <v>370</v>
      </c>
      <c r="W57" s="11" t="s">
        <v>371</v>
      </c>
      <c r="X57" s="10" t="s">
        <v>381</v>
      </c>
      <c r="Y57" s="12"/>
    </row>
    <row r="58" spans="1:25" x14ac:dyDescent="0.25">
      <c r="A58" s="3">
        <v>53</v>
      </c>
      <c r="B58" s="3" t="s">
        <v>25</v>
      </c>
      <c r="C58" s="4">
        <v>536210</v>
      </c>
      <c r="D58" s="5" t="s">
        <v>373</v>
      </c>
      <c r="E58" s="3">
        <v>5312</v>
      </c>
      <c r="F58" s="5" t="s">
        <v>365</v>
      </c>
      <c r="G58" s="3" t="s">
        <v>55</v>
      </c>
      <c r="H58" s="5" t="s">
        <v>382</v>
      </c>
      <c r="I58" s="5"/>
      <c r="J58" s="5" t="s">
        <v>383</v>
      </c>
      <c r="K58" s="5" t="s">
        <v>384</v>
      </c>
      <c r="L58" s="5" t="s">
        <v>78</v>
      </c>
      <c r="M58" s="5" t="s">
        <v>161</v>
      </c>
      <c r="N58" s="5" t="s">
        <v>162</v>
      </c>
      <c r="O58" s="5" t="s">
        <v>98</v>
      </c>
      <c r="P58" s="5" t="s">
        <v>128</v>
      </c>
      <c r="Q58" s="5" t="s">
        <v>81</v>
      </c>
      <c r="R58" s="5" t="s">
        <v>385</v>
      </c>
      <c r="S58" s="5" t="s">
        <v>42</v>
      </c>
      <c r="T58" s="5" t="s">
        <v>43</v>
      </c>
      <c r="U58" s="5">
        <v>5361</v>
      </c>
      <c r="V58" s="5" t="s">
        <v>370</v>
      </c>
      <c r="W58" s="6" t="s">
        <v>371</v>
      </c>
      <c r="X58" s="5" t="s">
        <v>381</v>
      </c>
      <c r="Y58" s="7"/>
    </row>
    <row r="59" spans="1:25" x14ac:dyDescent="0.25">
      <c r="A59" s="8">
        <v>53</v>
      </c>
      <c r="B59" s="8" t="s">
        <v>25</v>
      </c>
      <c r="C59" s="9">
        <v>536140</v>
      </c>
      <c r="D59" s="10" t="s">
        <v>386</v>
      </c>
      <c r="E59" s="8">
        <v>5313</v>
      </c>
      <c r="F59" s="10" t="s">
        <v>387</v>
      </c>
      <c r="G59" s="8" t="s">
        <v>55</v>
      </c>
      <c r="H59" s="10" t="s">
        <v>388</v>
      </c>
      <c r="I59" s="10"/>
      <c r="J59" s="10" t="s">
        <v>389</v>
      </c>
      <c r="K59" s="10" t="s">
        <v>390</v>
      </c>
      <c r="L59" s="10" t="s">
        <v>78</v>
      </c>
      <c r="M59" s="10" t="s">
        <v>68</v>
      </c>
      <c r="N59" s="10" t="s">
        <v>69</v>
      </c>
      <c r="O59" s="10" t="s">
        <v>391</v>
      </c>
      <c r="P59" s="10" t="s">
        <v>39</v>
      </c>
      <c r="Q59" s="10" t="s">
        <v>40</v>
      </c>
      <c r="R59" s="10" t="s">
        <v>41</v>
      </c>
      <c r="S59" s="10" t="s">
        <v>42</v>
      </c>
      <c r="T59" s="10" t="s">
        <v>43</v>
      </c>
      <c r="U59" s="10">
        <v>5361</v>
      </c>
      <c r="V59" s="10" t="s">
        <v>370</v>
      </c>
      <c r="W59" s="11" t="s">
        <v>371</v>
      </c>
      <c r="X59" s="10" t="s">
        <v>392</v>
      </c>
      <c r="Y59" s="12"/>
    </row>
    <row r="60" spans="1:25" x14ac:dyDescent="0.25">
      <c r="A60" s="3">
        <v>53</v>
      </c>
      <c r="B60" s="3" t="s">
        <v>25</v>
      </c>
      <c r="C60" s="4">
        <v>536100</v>
      </c>
      <c r="D60" s="5" t="s">
        <v>393</v>
      </c>
      <c r="E60" s="3">
        <v>5314</v>
      </c>
      <c r="F60" s="5" t="s">
        <v>394</v>
      </c>
      <c r="G60" s="3" t="s">
        <v>395</v>
      </c>
      <c r="H60" s="5" t="s">
        <v>396</v>
      </c>
      <c r="I60" s="5"/>
      <c r="J60" s="5" t="s">
        <v>397</v>
      </c>
      <c r="K60" s="5" t="s">
        <v>398</v>
      </c>
      <c r="L60" s="5" t="s">
        <v>59</v>
      </c>
      <c r="M60" s="5" t="s">
        <v>377</v>
      </c>
      <c r="N60" s="5" t="s">
        <v>378</v>
      </c>
      <c r="O60" s="5" t="s">
        <v>399</v>
      </c>
      <c r="P60" s="5" t="s">
        <v>39</v>
      </c>
      <c r="Q60" s="5" t="s">
        <v>99</v>
      </c>
      <c r="R60" s="5" t="s">
        <v>41</v>
      </c>
      <c r="S60" s="5" t="s">
        <v>82</v>
      </c>
      <c r="T60" s="5" t="s">
        <v>43</v>
      </c>
      <c r="U60" s="5">
        <v>5361</v>
      </c>
      <c r="V60" s="5" t="s">
        <v>370</v>
      </c>
      <c r="W60" s="6" t="s">
        <v>180</v>
      </c>
      <c r="X60" s="5" t="s">
        <v>400</v>
      </c>
      <c r="Y60" s="7"/>
    </row>
    <row r="61" spans="1:25" x14ac:dyDescent="0.25">
      <c r="A61" s="8">
        <v>53</v>
      </c>
      <c r="B61" s="8" t="s">
        <v>25</v>
      </c>
      <c r="C61" s="9">
        <v>536100</v>
      </c>
      <c r="D61" s="10" t="s">
        <v>393</v>
      </c>
      <c r="E61" s="8">
        <v>5314</v>
      </c>
      <c r="F61" s="10" t="s">
        <v>394</v>
      </c>
      <c r="G61" s="8" t="s">
        <v>395</v>
      </c>
      <c r="H61" s="10" t="s">
        <v>401</v>
      </c>
      <c r="I61" s="10"/>
      <c r="J61" s="10" t="s">
        <v>402</v>
      </c>
      <c r="K61" s="10" t="s">
        <v>403</v>
      </c>
      <c r="L61" s="10" t="s">
        <v>35</v>
      </c>
      <c r="M61" s="10" t="s">
        <v>68</v>
      </c>
      <c r="N61" s="10" t="s">
        <v>69</v>
      </c>
      <c r="O61" s="10" t="s">
        <v>404</v>
      </c>
      <c r="P61" s="10" t="s">
        <v>39</v>
      </c>
      <c r="Q61" s="10" t="s">
        <v>72</v>
      </c>
      <c r="R61" s="10" t="s">
        <v>41</v>
      </c>
      <c r="S61" s="10" t="s">
        <v>42</v>
      </c>
      <c r="T61" s="10" t="s">
        <v>405</v>
      </c>
      <c r="U61" s="10">
        <v>5361</v>
      </c>
      <c r="V61" s="10" t="s">
        <v>370</v>
      </c>
      <c r="W61" s="11" t="s">
        <v>180</v>
      </c>
      <c r="X61" s="10" t="s">
        <v>400</v>
      </c>
      <c r="Y61" s="12"/>
    </row>
    <row r="62" spans="1:25" x14ac:dyDescent="0.25">
      <c r="A62" s="3">
        <v>53</v>
      </c>
      <c r="B62" s="3" t="s">
        <v>25</v>
      </c>
      <c r="C62" s="4">
        <v>536100</v>
      </c>
      <c r="D62" s="5" t="s">
        <v>393</v>
      </c>
      <c r="E62" s="3">
        <v>5314</v>
      </c>
      <c r="F62" s="5" t="s">
        <v>394</v>
      </c>
      <c r="G62" s="3" t="s">
        <v>395</v>
      </c>
      <c r="H62" s="5" t="s">
        <v>406</v>
      </c>
      <c r="I62" s="5"/>
      <c r="J62" s="5" t="s">
        <v>407</v>
      </c>
      <c r="K62" s="5" t="s">
        <v>408</v>
      </c>
      <c r="L62" s="5" t="s">
        <v>78</v>
      </c>
      <c r="M62" s="5" t="s">
        <v>244</v>
      </c>
      <c r="N62" s="5" t="s">
        <v>409</v>
      </c>
      <c r="O62" s="5" t="s">
        <v>246</v>
      </c>
      <c r="P62" s="5" t="s">
        <v>39</v>
      </c>
      <c r="Q62" s="5" t="s">
        <v>99</v>
      </c>
      <c r="R62" s="5" t="s">
        <v>100</v>
      </c>
      <c r="S62" s="5" t="s">
        <v>137</v>
      </c>
      <c r="T62" s="5" t="s">
        <v>410</v>
      </c>
      <c r="U62" s="5">
        <v>5361</v>
      </c>
      <c r="V62" s="5" t="s">
        <v>370</v>
      </c>
      <c r="W62" s="6" t="s">
        <v>180</v>
      </c>
      <c r="X62" s="5" t="s">
        <v>400</v>
      </c>
      <c r="Y62" s="7"/>
    </row>
    <row r="63" spans="1:25" x14ac:dyDescent="0.25">
      <c r="A63" s="8">
        <v>53</v>
      </c>
      <c r="B63" s="8" t="s">
        <v>25</v>
      </c>
      <c r="C63" s="9">
        <v>536100</v>
      </c>
      <c r="D63" s="10" t="s">
        <v>393</v>
      </c>
      <c r="E63" s="8">
        <v>5314</v>
      </c>
      <c r="F63" s="10" t="s">
        <v>394</v>
      </c>
      <c r="G63" s="8" t="s">
        <v>395</v>
      </c>
      <c r="H63" s="10" t="s">
        <v>411</v>
      </c>
      <c r="I63" s="10"/>
      <c r="J63" s="10" t="s">
        <v>412</v>
      </c>
      <c r="K63" s="10" t="s">
        <v>413</v>
      </c>
      <c r="L63" s="10" t="s">
        <v>35</v>
      </c>
      <c r="M63" s="10" t="s">
        <v>377</v>
      </c>
      <c r="N63" s="10" t="s">
        <v>414</v>
      </c>
      <c r="O63" s="10" t="s">
        <v>415</v>
      </c>
      <c r="P63" s="10" t="s">
        <v>39</v>
      </c>
      <c r="Q63" s="10" t="s">
        <v>416</v>
      </c>
      <c r="R63" s="10" t="s">
        <v>41</v>
      </c>
      <c r="S63" s="10" t="s">
        <v>82</v>
      </c>
      <c r="T63" s="10" t="s">
        <v>43</v>
      </c>
      <c r="U63" s="10">
        <v>5361</v>
      </c>
      <c r="V63" s="10" t="s">
        <v>370</v>
      </c>
      <c r="W63" s="11" t="s">
        <v>180</v>
      </c>
      <c r="X63" s="10" t="s">
        <v>400</v>
      </c>
      <c r="Y63" s="12"/>
    </row>
    <row r="64" spans="1:25" x14ac:dyDescent="0.25">
      <c r="A64" s="3">
        <v>53</v>
      </c>
      <c r="B64" s="3" t="s">
        <v>25</v>
      </c>
      <c r="C64" s="4">
        <v>536100</v>
      </c>
      <c r="D64" s="5" t="s">
        <v>393</v>
      </c>
      <c r="E64" s="3">
        <v>5314</v>
      </c>
      <c r="F64" s="5" t="s">
        <v>394</v>
      </c>
      <c r="G64" s="3" t="s">
        <v>395</v>
      </c>
      <c r="H64" s="5" t="s">
        <v>417</v>
      </c>
      <c r="I64" s="5"/>
      <c r="J64" s="5" t="s">
        <v>418</v>
      </c>
      <c r="K64" s="5" t="s">
        <v>419</v>
      </c>
      <c r="L64" s="5" t="s">
        <v>78</v>
      </c>
      <c r="M64" s="5" t="s">
        <v>68</v>
      </c>
      <c r="N64" s="5" t="s">
        <v>69</v>
      </c>
      <c r="O64" s="5" t="s">
        <v>420</v>
      </c>
      <c r="P64" s="5" t="s">
        <v>128</v>
      </c>
      <c r="Q64" s="5" t="s">
        <v>40</v>
      </c>
      <c r="R64" s="5" t="s">
        <v>41</v>
      </c>
      <c r="S64" s="5" t="s">
        <v>421</v>
      </c>
      <c r="T64" s="5" t="s">
        <v>422</v>
      </c>
      <c r="U64" s="5">
        <v>5361</v>
      </c>
      <c r="V64" s="5" t="s">
        <v>370</v>
      </c>
      <c r="W64" s="6" t="s">
        <v>180</v>
      </c>
      <c r="X64" s="5" t="s">
        <v>400</v>
      </c>
      <c r="Y64" s="7"/>
    </row>
    <row r="65" spans="1:25" x14ac:dyDescent="0.25">
      <c r="A65" s="8">
        <v>53</v>
      </c>
      <c r="B65" s="8" t="s">
        <v>25</v>
      </c>
      <c r="C65" s="9">
        <v>536100</v>
      </c>
      <c r="D65" s="10" t="s">
        <v>393</v>
      </c>
      <c r="E65" s="8">
        <v>5314</v>
      </c>
      <c r="F65" s="10" t="s">
        <v>394</v>
      </c>
      <c r="G65" s="8" t="s">
        <v>395</v>
      </c>
      <c r="H65" s="10" t="s">
        <v>423</v>
      </c>
      <c r="I65" s="10"/>
      <c r="J65" s="10" t="s">
        <v>424</v>
      </c>
      <c r="K65" s="10" t="s">
        <v>425</v>
      </c>
      <c r="L65" s="10" t="s">
        <v>35</v>
      </c>
      <c r="M65" s="10" t="s">
        <v>68</v>
      </c>
      <c r="N65" s="10" t="s">
        <v>167</v>
      </c>
      <c r="O65" s="10" t="s">
        <v>426</v>
      </c>
      <c r="P65" s="10" t="s">
        <v>39</v>
      </c>
      <c r="Q65" s="10" t="s">
        <v>427</v>
      </c>
      <c r="R65" s="10" t="s">
        <v>385</v>
      </c>
      <c r="S65" s="10" t="s">
        <v>137</v>
      </c>
      <c r="T65" s="10" t="s">
        <v>43</v>
      </c>
      <c r="U65" s="10">
        <v>5361</v>
      </c>
      <c r="V65" s="10" t="s">
        <v>370</v>
      </c>
      <c r="W65" s="11" t="s">
        <v>180</v>
      </c>
      <c r="X65" s="10" t="s">
        <v>400</v>
      </c>
      <c r="Y65" s="12"/>
    </row>
    <row r="66" spans="1:25" x14ac:dyDescent="0.25">
      <c r="A66" s="3">
        <v>53</v>
      </c>
      <c r="B66" s="3" t="s">
        <v>25</v>
      </c>
      <c r="C66" s="4">
        <v>536280</v>
      </c>
      <c r="D66" s="5" t="s">
        <v>428</v>
      </c>
      <c r="E66" s="3">
        <v>5314</v>
      </c>
      <c r="F66" s="5" t="s">
        <v>394</v>
      </c>
      <c r="G66" s="3" t="s">
        <v>55</v>
      </c>
      <c r="H66" s="5" t="s">
        <v>429</v>
      </c>
      <c r="I66" s="5"/>
      <c r="J66" s="5" t="s">
        <v>430</v>
      </c>
      <c r="K66" s="5" t="s">
        <v>431</v>
      </c>
      <c r="L66" s="5" t="s">
        <v>78</v>
      </c>
      <c r="M66" s="5" t="s">
        <v>68</v>
      </c>
      <c r="N66" s="5" t="s">
        <v>79</v>
      </c>
      <c r="O66" s="5" t="s">
        <v>432</v>
      </c>
      <c r="P66" s="5" t="s">
        <v>136</v>
      </c>
      <c r="Q66" s="5" t="s">
        <v>427</v>
      </c>
      <c r="R66" s="5" t="s">
        <v>41</v>
      </c>
      <c r="S66" s="5" t="s">
        <v>42</v>
      </c>
      <c r="T66" s="5" t="s">
        <v>43</v>
      </c>
      <c r="U66" s="5">
        <v>5361</v>
      </c>
      <c r="V66" s="5" t="s">
        <v>370</v>
      </c>
      <c r="W66" s="6" t="s">
        <v>180</v>
      </c>
      <c r="X66" s="5" t="s">
        <v>433</v>
      </c>
      <c r="Y66" s="7"/>
    </row>
    <row r="67" spans="1:25" x14ac:dyDescent="0.25">
      <c r="A67" s="8">
        <v>53</v>
      </c>
      <c r="B67" s="8" t="s">
        <v>25</v>
      </c>
      <c r="C67" s="9">
        <v>536327</v>
      </c>
      <c r="D67" s="10" t="s">
        <v>434</v>
      </c>
      <c r="E67" s="8">
        <v>5314</v>
      </c>
      <c r="F67" s="10" t="s">
        <v>394</v>
      </c>
      <c r="G67" s="8" t="s">
        <v>226</v>
      </c>
      <c r="H67" s="10" t="s">
        <v>435</v>
      </c>
      <c r="I67" s="10"/>
      <c r="J67" s="10" t="s">
        <v>436</v>
      </c>
      <c r="K67" s="10" t="s">
        <v>437</v>
      </c>
      <c r="L67" s="10" t="s">
        <v>35</v>
      </c>
      <c r="M67" s="10" t="s">
        <v>438</v>
      </c>
      <c r="N67" s="10" t="s">
        <v>439</v>
      </c>
      <c r="O67" s="10" t="s">
        <v>246</v>
      </c>
      <c r="P67" s="10" t="s">
        <v>39</v>
      </c>
      <c r="Q67" s="10" t="s">
        <v>440</v>
      </c>
      <c r="R67" s="10" t="s">
        <v>41</v>
      </c>
      <c r="S67" s="10" t="s">
        <v>82</v>
      </c>
      <c r="T67" s="10" t="s">
        <v>441</v>
      </c>
      <c r="U67" s="10">
        <v>5361</v>
      </c>
      <c r="V67" s="10" t="s">
        <v>370</v>
      </c>
      <c r="W67" s="11" t="s">
        <v>180</v>
      </c>
      <c r="X67" s="10" t="s">
        <v>400</v>
      </c>
      <c r="Y67" s="12"/>
    </row>
    <row r="68" spans="1:25" x14ac:dyDescent="0.25">
      <c r="A68" s="3">
        <v>53</v>
      </c>
      <c r="B68" s="3" t="s">
        <v>25</v>
      </c>
      <c r="C68" s="4">
        <v>534900</v>
      </c>
      <c r="D68" s="5" t="s">
        <v>442</v>
      </c>
      <c r="E68" s="3">
        <v>5315</v>
      </c>
      <c r="F68" s="5" t="s">
        <v>443</v>
      </c>
      <c r="G68" s="3" t="s">
        <v>395</v>
      </c>
      <c r="H68" s="5" t="s">
        <v>444</v>
      </c>
      <c r="I68" s="5"/>
      <c r="J68" s="5" t="s">
        <v>445</v>
      </c>
      <c r="K68" s="5" t="s">
        <v>446</v>
      </c>
      <c r="L68" s="5" t="s">
        <v>35</v>
      </c>
      <c r="M68" s="5" t="s">
        <v>68</v>
      </c>
      <c r="N68" s="5" t="s">
        <v>167</v>
      </c>
      <c r="O68" s="5" t="s">
        <v>447</v>
      </c>
      <c r="P68" s="5" t="s">
        <v>39</v>
      </c>
      <c r="Q68" s="5" t="s">
        <v>448</v>
      </c>
      <c r="R68" s="5" t="s">
        <v>41</v>
      </c>
      <c r="S68" s="5" t="s">
        <v>137</v>
      </c>
      <c r="T68" s="5" t="s">
        <v>449</v>
      </c>
      <c r="U68" s="5">
        <v>5349</v>
      </c>
      <c r="V68" s="5" t="s">
        <v>450</v>
      </c>
      <c r="W68" s="6">
        <v>5341</v>
      </c>
      <c r="X68" s="5" t="s">
        <v>451</v>
      </c>
      <c r="Y68" s="7"/>
    </row>
    <row r="69" spans="1:25" x14ac:dyDescent="0.25">
      <c r="A69" s="8">
        <v>53</v>
      </c>
      <c r="B69" s="8" t="s">
        <v>25</v>
      </c>
      <c r="C69" s="9">
        <v>534900</v>
      </c>
      <c r="D69" s="10" t="s">
        <v>442</v>
      </c>
      <c r="E69" s="8">
        <v>5315</v>
      </c>
      <c r="F69" s="10" t="s">
        <v>443</v>
      </c>
      <c r="G69" s="8" t="s">
        <v>395</v>
      </c>
      <c r="H69" s="10" t="s">
        <v>452</v>
      </c>
      <c r="I69" s="10"/>
      <c r="J69" s="10" t="s">
        <v>453</v>
      </c>
      <c r="K69" s="10" t="s">
        <v>454</v>
      </c>
      <c r="L69" s="10" t="s">
        <v>78</v>
      </c>
      <c r="M69" s="10" t="s">
        <v>125</v>
      </c>
      <c r="N69" s="10" t="s">
        <v>126</v>
      </c>
      <c r="O69" s="10" t="s">
        <v>455</v>
      </c>
      <c r="P69" s="10" t="s">
        <v>128</v>
      </c>
      <c r="Q69" s="10" t="s">
        <v>129</v>
      </c>
      <c r="R69" s="10" t="s">
        <v>41</v>
      </c>
      <c r="S69" s="10" t="s">
        <v>42</v>
      </c>
      <c r="T69" s="10" t="s">
        <v>43</v>
      </c>
      <c r="U69" s="10">
        <v>5349</v>
      </c>
      <c r="V69" s="10" t="s">
        <v>450</v>
      </c>
      <c r="W69" s="11">
        <v>5341</v>
      </c>
      <c r="X69" s="10" t="s">
        <v>451</v>
      </c>
      <c r="Y69" s="12"/>
    </row>
    <row r="70" spans="1:25" x14ac:dyDescent="0.25">
      <c r="A70" s="3">
        <v>53</v>
      </c>
      <c r="B70" s="3" t="s">
        <v>25</v>
      </c>
      <c r="C70" s="4">
        <v>534900</v>
      </c>
      <c r="D70" s="5" t="s">
        <v>442</v>
      </c>
      <c r="E70" s="3">
        <v>5315</v>
      </c>
      <c r="F70" s="5" t="s">
        <v>443</v>
      </c>
      <c r="G70" s="3" t="s">
        <v>395</v>
      </c>
      <c r="H70" s="5" t="s">
        <v>456</v>
      </c>
      <c r="I70" s="5"/>
      <c r="J70" s="5" t="s">
        <v>457</v>
      </c>
      <c r="K70" s="5" t="s">
        <v>458</v>
      </c>
      <c r="L70" s="5" t="s">
        <v>35</v>
      </c>
      <c r="M70" s="5" t="s">
        <v>68</v>
      </c>
      <c r="N70" s="5" t="s">
        <v>79</v>
      </c>
      <c r="O70" s="5" t="s">
        <v>459</v>
      </c>
      <c r="P70" s="5" t="s">
        <v>39</v>
      </c>
      <c r="Q70" s="5" t="s">
        <v>81</v>
      </c>
      <c r="R70" s="5" t="s">
        <v>41</v>
      </c>
      <c r="S70" s="5" t="s">
        <v>42</v>
      </c>
      <c r="T70" s="5" t="s">
        <v>43</v>
      </c>
      <c r="U70" s="5">
        <v>5349</v>
      </c>
      <c r="V70" s="5" t="s">
        <v>450</v>
      </c>
      <c r="W70" s="6">
        <v>5341</v>
      </c>
      <c r="X70" s="5" t="s">
        <v>451</v>
      </c>
      <c r="Y70" s="7"/>
    </row>
    <row r="71" spans="1:25" x14ac:dyDescent="0.25">
      <c r="A71" s="8">
        <v>53</v>
      </c>
      <c r="B71" s="8" t="s">
        <v>25</v>
      </c>
      <c r="C71" s="9">
        <v>534900</v>
      </c>
      <c r="D71" s="10" t="s">
        <v>442</v>
      </c>
      <c r="E71" s="8">
        <v>5315</v>
      </c>
      <c r="F71" s="10" t="s">
        <v>443</v>
      </c>
      <c r="G71" s="8" t="s">
        <v>395</v>
      </c>
      <c r="H71" s="10" t="s">
        <v>460</v>
      </c>
      <c r="I71" s="10"/>
      <c r="J71" s="10" t="s">
        <v>461</v>
      </c>
      <c r="K71" s="10" t="s">
        <v>462</v>
      </c>
      <c r="L71" s="10" t="s">
        <v>78</v>
      </c>
      <c r="M71" s="10" t="s">
        <v>161</v>
      </c>
      <c r="N71" s="10" t="s">
        <v>162</v>
      </c>
      <c r="O71" s="10" t="s">
        <v>98</v>
      </c>
      <c r="P71" s="10" t="s">
        <v>39</v>
      </c>
      <c r="Q71" s="10" t="s">
        <v>99</v>
      </c>
      <c r="R71" s="10" t="s">
        <v>41</v>
      </c>
      <c r="S71" s="10" t="s">
        <v>42</v>
      </c>
      <c r="T71" s="10" t="s">
        <v>43</v>
      </c>
      <c r="U71" s="10">
        <v>5349</v>
      </c>
      <c r="V71" s="10" t="s">
        <v>450</v>
      </c>
      <c r="W71" s="11">
        <v>5341</v>
      </c>
      <c r="X71" s="10" t="s">
        <v>451</v>
      </c>
      <c r="Y71" s="12"/>
    </row>
    <row r="72" spans="1:25" x14ac:dyDescent="0.25">
      <c r="A72" s="3">
        <v>53</v>
      </c>
      <c r="B72" s="3" t="s">
        <v>25</v>
      </c>
      <c r="C72" s="4">
        <v>534900</v>
      </c>
      <c r="D72" s="5" t="s">
        <v>442</v>
      </c>
      <c r="E72" s="3">
        <v>5315</v>
      </c>
      <c r="F72" s="5" t="s">
        <v>443</v>
      </c>
      <c r="G72" s="3" t="s">
        <v>395</v>
      </c>
      <c r="H72" s="5" t="s">
        <v>463</v>
      </c>
      <c r="I72" s="5"/>
      <c r="J72" s="5" t="s">
        <v>464</v>
      </c>
      <c r="K72" s="5" t="s">
        <v>465</v>
      </c>
      <c r="L72" s="5" t="s">
        <v>35</v>
      </c>
      <c r="M72" s="5" t="s">
        <v>161</v>
      </c>
      <c r="N72" s="5" t="s">
        <v>162</v>
      </c>
      <c r="O72" s="5" t="s">
        <v>98</v>
      </c>
      <c r="P72" s="5" t="s">
        <v>39</v>
      </c>
      <c r="Q72" s="5" t="s">
        <v>440</v>
      </c>
      <c r="R72" s="5" t="s">
        <v>41</v>
      </c>
      <c r="S72" s="5" t="s">
        <v>466</v>
      </c>
      <c r="T72" s="5" t="s">
        <v>467</v>
      </c>
      <c r="U72" s="5">
        <v>5349</v>
      </c>
      <c r="V72" s="5" t="s">
        <v>450</v>
      </c>
      <c r="W72" s="6">
        <v>5341</v>
      </c>
      <c r="X72" s="5" t="s">
        <v>451</v>
      </c>
      <c r="Y72" s="7"/>
    </row>
    <row r="73" spans="1:25" x14ac:dyDescent="0.25">
      <c r="A73" s="8">
        <v>53</v>
      </c>
      <c r="B73" s="8" t="s">
        <v>25</v>
      </c>
      <c r="C73" s="9">
        <v>535120</v>
      </c>
      <c r="D73" s="10" t="s">
        <v>468</v>
      </c>
      <c r="E73" s="8">
        <v>5315</v>
      </c>
      <c r="F73" s="10" t="s">
        <v>443</v>
      </c>
      <c r="G73" s="8" t="s">
        <v>31</v>
      </c>
      <c r="H73" s="10" t="s">
        <v>469</v>
      </c>
      <c r="I73" s="10"/>
      <c r="J73" s="10" t="s">
        <v>470</v>
      </c>
      <c r="K73" s="10" t="s">
        <v>471</v>
      </c>
      <c r="L73" s="10" t="s">
        <v>59</v>
      </c>
      <c r="M73" s="10" t="s">
        <v>161</v>
      </c>
      <c r="N73" s="10" t="s">
        <v>162</v>
      </c>
      <c r="O73" s="10" t="s">
        <v>98</v>
      </c>
      <c r="P73" s="10" t="s">
        <v>39</v>
      </c>
      <c r="Q73" s="10" t="s">
        <v>472</v>
      </c>
      <c r="R73" s="10" t="s">
        <v>41</v>
      </c>
      <c r="S73" s="10" t="s">
        <v>82</v>
      </c>
      <c r="T73" s="10" t="s">
        <v>43</v>
      </c>
      <c r="U73" s="10">
        <v>5349</v>
      </c>
      <c r="V73" s="10" t="s">
        <v>450</v>
      </c>
      <c r="W73" s="11">
        <v>5341</v>
      </c>
      <c r="X73" s="10" t="s">
        <v>473</v>
      </c>
      <c r="Y73" s="12"/>
    </row>
    <row r="74" spans="1:25" x14ac:dyDescent="0.25">
      <c r="A74" s="3">
        <v>53</v>
      </c>
      <c r="B74" s="3" t="s">
        <v>25</v>
      </c>
      <c r="C74" s="4">
        <v>535100</v>
      </c>
      <c r="D74" s="5" t="s">
        <v>474</v>
      </c>
      <c r="E74" s="3">
        <v>5315</v>
      </c>
      <c r="F74" s="5" t="s">
        <v>443</v>
      </c>
      <c r="G74" s="3" t="s">
        <v>55</v>
      </c>
      <c r="H74" s="5" t="s">
        <v>475</v>
      </c>
      <c r="I74" s="5"/>
      <c r="J74" s="5" t="s">
        <v>476</v>
      </c>
      <c r="K74" s="5" t="s">
        <v>477</v>
      </c>
      <c r="L74" s="5" t="s">
        <v>35</v>
      </c>
      <c r="M74" s="5" t="s">
        <v>49</v>
      </c>
      <c r="N74" s="5" t="s">
        <v>478</v>
      </c>
      <c r="O74" s="5" t="s">
        <v>479</v>
      </c>
      <c r="P74" s="5" t="s">
        <v>199</v>
      </c>
      <c r="Q74" s="5" t="s">
        <v>62</v>
      </c>
      <c r="R74" s="5" t="s">
        <v>41</v>
      </c>
      <c r="S74" s="5" t="s">
        <v>82</v>
      </c>
      <c r="T74" s="5" t="s">
        <v>43</v>
      </c>
      <c r="U74" s="5">
        <v>5349</v>
      </c>
      <c r="V74" s="5" t="s">
        <v>450</v>
      </c>
      <c r="W74" s="6">
        <v>5341</v>
      </c>
      <c r="X74" s="5" t="s">
        <v>480</v>
      </c>
      <c r="Y74" s="7"/>
    </row>
    <row r="75" spans="1:25" x14ac:dyDescent="0.25">
      <c r="A75" s="8">
        <v>53</v>
      </c>
      <c r="B75" s="8" t="s">
        <v>25</v>
      </c>
      <c r="C75" s="9">
        <v>535140</v>
      </c>
      <c r="D75" s="10" t="s">
        <v>481</v>
      </c>
      <c r="E75" s="8">
        <v>5316</v>
      </c>
      <c r="F75" s="10" t="s">
        <v>482</v>
      </c>
      <c r="G75" s="8" t="s">
        <v>31</v>
      </c>
      <c r="H75" s="10" t="s">
        <v>483</v>
      </c>
      <c r="I75" s="10"/>
      <c r="J75" s="10" t="s">
        <v>484</v>
      </c>
      <c r="K75" s="10" t="s">
        <v>485</v>
      </c>
      <c r="L75" s="10" t="s">
        <v>78</v>
      </c>
      <c r="M75" s="10" t="s">
        <v>161</v>
      </c>
      <c r="N75" s="10" t="s">
        <v>162</v>
      </c>
      <c r="O75" s="10" t="s">
        <v>98</v>
      </c>
      <c r="P75" s="10" t="s">
        <v>39</v>
      </c>
      <c r="Q75" s="10" t="s">
        <v>440</v>
      </c>
      <c r="R75" s="10" t="s">
        <v>41</v>
      </c>
      <c r="S75" s="10" t="s">
        <v>486</v>
      </c>
      <c r="T75" s="10" t="s">
        <v>43</v>
      </c>
      <c r="U75" s="10">
        <v>5349</v>
      </c>
      <c r="V75" s="10" t="s">
        <v>450</v>
      </c>
      <c r="W75" s="11">
        <v>5341</v>
      </c>
      <c r="X75" s="10" t="s">
        <v>487</v>
      </c>
      <c r="Y75" s="12"/>
    </row>
    <row r="76" spans="1:25" x14ac:dyDescent="0.25">
      <c r="A76" s="3">
        <v>53</v>
      </c>
      <c r="B76" s="3" t="s">
        <v>25</v>
      </c>
      <c r="C76" s="4">
        <v>535141</v>
      </c>
      <c r="D76" s="5" t="s">
        <v>488</v>
      </c>
      <c r="E76" s="3">
        <v>5316</v>
      </c>
      <c r="F76" s="5" t="s">
        <v>482</v>
      </c>
      <c r="G76" s="3" t="s">
        <v>55</v>
      </c>
      <c r="H76" s="5" t="s">
        <v>489</v>
      </c>
      <c r="I76" s="5"/>
      <c r="J76" s="5" t="s">
        <v>490</v>
      </c>
      <c r="K76" s="5" t="s">
        <v>34</v>
      </c>
      <c r="L76" s="5" t="s">
        <v>78</v>
      </c>
      <c r="M76" s="5" t="s">
        <v>161</v>
      </c>
      <c r="N76" s="5" t="s">
        <v>162</v>
      </c>
      <c r="O76" s="5" t="s">
        <v>98</v>
      </c>
      <c r="P76" s="5" t="s">
        <v>107</v>
      </c>
      <c r="Q76" s="5" t="s">
        <v>491</v>
      </c>
      <c r="R76" s="5" t="s">
        <v>41</v>
      </c>
      <c r="S76" s="5" t="s">
        <v>82</v>
      </c>
      <c r="T76" s="5" t="s">
        <v>43</v>
      </c>
      <c r="U76" s="5">
        <v>5349</v>
      </c>
      <c r="V76" s="5" t="s">
        <v>450</v>
      </c>
      <c r="W76" s="6">
        <v>5341</v>
      </c>
      <c r="X76" s="5" t="s">
        <v>492</v>
      </c>
      <c r="Y76" s="7"/>
    </row>
    <row r="77" spans="1:25" x14ac:dyDescent="0.25">
      <c r="A77" s="8">
        <v>53</v>
      </c>
      <c r="B77" s="8" t="s">
        <v>25</v>
      </c>
      <c r="C77" s="9">
        <v>535141</v>
      </c>
      <c r="D77" s="10" t="s">
        <v>488</v>
      </c>
      <c r="E77" s="8">
        <v>5316</v>
      </c>
      <c r="F77" s="10" t="s">
        <v>482</v>
      </c>
      <c r="G77" s="8" t="s">
        <v>55</v>
      </c>
      <c r="H77" s="10" t="s">
        <v>493</v>
      </c>
      <c r="I77" s="10"/>
      <c r="J77" s="10" t="s">
        <v>494</v>
      </c>
      <c r="K77" s="10" t="s">
        <v>495</v>
      </c>
      <c r="L77" s="10" t="s">
        <v>59</v>
      </c>
      <c r="M77" s="10" t="s">
        <v>97</v>
      </c>
      <c r="N77" s="10" t="s">
        <v>97</v>
      </c>
      <c r="O77" s="10" t="s">
        <v>98</v>
      </c>
      <c r="P77" s="10" t="s">
        <v>39</v>
      </c>
      <c r="Q77" s="10" t="s">
        <v>40</v>
      </c>
      <c r="R77" s="10" t="s">
        <v>41</v>
      </c>
      <c r="S77" s="10" t="s">
        <v>82</v>
      </c>
      <c r="T77" s="10" t="s">
        <v>43</v>
      </c>
      <c r="U77" s="10">
        <v>5349</v>
      </c>
      <c r="V77" s="10" t="s">
        <v>450</v>
      </c>
      <c r="W77" s="11">
        <v>5341</v>
      </c>
      <c r="X77" s="10" t="s">
        <v>492</v>
      </c>
      <c r="Y77" s="12"/>
    </row>
    <row r="78" spans="1:25" x14ac:dyDescent="0.25">
      <c r="A78" s="3">
        <v>53</v>
      </c>
      <c r="B78" s="3" t="s">
        <v>25</v>
      </c>
      <c r="C78" s="4">
        <v>534910</v>
      </c>
      <c r="D78" s="5" t="s">
        <v>496</v>
      </c>
      <c r="E78" s="3">
        <v>5316</v>
      </c>
      <c r="F78" s="5" t="s">
        <v>482</v>
      </c>
      <c r="G78" s="3" t="s">
        <v>55</v>
      </c>
      <c r="H78" s="5" t="s">
        <v>497</v>
      </c>
      <c r="I78" s="5"/>
      <c r="J78" s="5" t="s">
        <v>498</v>
      </c>
      <c r="K78" s="5" t="s">
        <v>34</v>
      </c>
      <c r="L78" s="5" t="s">
        <v>78</v>
      </c>
      <c r="M78" s="5" t="s">
        <v>68</v>
      </c>
      <c r="N78" s="5" t="s">
        <v>69</v>
      </c>
      <c r="O78" s="5" t="s">
        <v>499</v>
      </c>
      <c r="P78" s="5" t="s">
        <v>39</v>
      </c>
      <c r="Q78" s="5" t="s">
        <v>40</v>
      </c>
      <c r="R78" s="5" t="s">
        <v>41</v>
      </c>
      <c r="S78" s="5" t="s">
        <v>82</v>
      </c>
      <c r="T78" s="5" t="s">
        <v>43</v>
      </c>
      <c r="U78" s="5">
        <v>5349</v>
      </c>
      <c r="V78" s="5" t="s">
        <v>450</v>
      </c>
      <c r="W78" s="6">
        <v>5341</v>
      </c>
      <c r="X78" s="5" t="s">
        <v>500</v>
      </c>
      <c r="Y78" s="7"/>
    </row>
    <row r="79" spans="1:25" x14ac:dyDescent="0.25">
      <c r="A79" s="8">
        <v>53</v>
      </c>
      <c r="B79" s="8" t="s">
        <v>25</v>
      </c>
      <c r="C79" s="9">
        <v>535160</v>
      </c>
      <c r="D79" s="10" t="s">
        <v>501</v>
      </c>
      <c r="E79" s="8">
        <v>5316</v>
      </c>
      <c r="F79" s="10" t="s">
        <v>482</v>
      </c>
      <c r="G79" s="8" t="s">
        <v>55</v>
      </c>
      <c r="H79" s="10" t="s">
        <v>502</v>
      </c>
      <c r="I79" s="10"/>
      <c r="J79" s="10" t="s">
        <v>503</v>
      </c>
      <c r="K79" s="10" t="s">
        <v>504</v>
      </c>
      <c r="L79" s="10" t="s">
        <v>78</v>
      </c>
      <c r="M79" s="10" t="s">
        <v>49</v>
      </c>
      <c r="N79" s="10" t="s">
        <v>50</v>
      </c>
      <c r="O79" s="10" t="s">
        <v>505</v>
      </c>
      <c r="P79" s="10" t="s">
        <v>39</v>
      </c>
      <c r="Q79" s="10" t="s">
        <v>62</v>
      </c>
      <c r="R79" s="10" t="s">
        <v>41</v>
      </c>
      <c r="S79" s="10" t="s">
        <v>90</v>
      </c>
      <c r="T79" s="10" t="s">
        <v>43</v>
      </c>
      <c r="U79" s="10">
        <v>5349</v>
      </c>
      <c r="V79" s="10" t="s">
        <v>450</v>
      </c>
      <c r="W79" s="11">
        <v>5341</v>
      </c>
      <c r="X79" s="10" t="s">
        <v>506</v>
      </c>
      <c r="Y79" s="12"/>
    </row>
    <row r="80" spans="1:25" x14ac:dyDescent="0.25">
      <c r="A80" s="3">
        <v>53</v>
      </c>
      <c r="B80" s="3" t="s">
        <v>25</v>
      </c>
      <c r="C80" s="4">
        <v>535070</v>
      </c>
      <c r="D80" s="5" t="s">
        <v>507</v>
      </c>
      <c r="E80" s="3">
        <v>5317</v>
      </c>
      <c r="F80" s="5" t="s">
        <v>508</v>
      </c>
      <c r="G80" s="3" t="s">
        <v>55</v>
      </c>
      <c r="H80" s="5" t="s">
        <v>509</v>
      </c>
      <c r="I80" s="5"/>
      <c r="J80" s="5" t="s">
        <v>510</v>
      </c>
      <c r="K80" s="5" t="s">
        <v>511</v>
      </c>
      <c r="L80" s="5" t="s">
        <v>78</v>
      </c>
      <c r="M80" s="5" t="s">
        <v>68</v>
      </c>
      <c r="N80" s="5" t="s">
        <v>69</v>
      </c>
      <c r="O80" s="5" t="s">
        <v>512</v>
      </c>
      <c r="P80" s="5" t="s">
        <v>39</v>
      </c>
      <c r="Q80" s="5" t="s">
        <v>40</v>
      </c>
      <c r="R80" s="5" t="s">
        <v>41</v>
      </c>
      <c r="S80" s="5" t="s">
        <v>82</v>
      </c>
      <c r="T80" s="5" t="s">
        <v>43</v>
      </c>
      <c r="U80" s="5">
        <v>5349</v>
      </c>
      <c r="V80" s="5" t="s">
        <v>450</v>
      </c>
      <c r="W80" s="6">
        <v>5341</v>
      </c>
      <c r="X80" s="5" t="s">
        <v>513</v>
      </c>
      <c r="Y80" s="7"/>
    </row>
    <row r="81" spans="1:25" x14ac:dyDescent="0.25">
      <c r="A81" s="8">
        <v>53</v>
      </c>
      <c r="B81" s="8" t="s">
        <v>25</v>
      </c>
      <c r="C81" s="9">
        <v>534930</v>
      </c>
      <c r="D81" s="10" t="s">
        <v>514</v>
      </c>
      <c r="E81" s="8">
        <v>5317</v>
      </c>
      <c r="F81" s="10" t="s">
        <v>508</v>
      </c>
      <c r="G81" s="8" t="s">
        <v>55</v>
      </c>
      <c r="H81" s="10" t="s">
        <v>515</v>
      </c>
      <c r="I81" s="10"/>
      <c r="J81" s="10" t="s">
        <v>516</v>
      </c>
      <c r="K81" s="10" t="s">
        <v>517</v>
      </c>
      <c r="L81" s="10" t="s">
        <v>78</v>
      </c>
      <c r="M81" s="10" t="s">
        <v>68</v>
      </c>
      <c r="N81" s="10" t="s">
        <v>79</v>
      </c>
      <c r="O81" s="10" t="s">
        <v>518</v>
      </c>
      <c r="P81" s="10" t="s">
        <v>39</v>
      </c>
      <c r="Q81" s="10" t="s">
        <v>81</v>
      </c>
      <c r="R81" s="10" t="s">
        <v>100</v>
      </c>
      <c r="S81" s="10" t="s">
        <v>42</v>
      </c>
      <c r="T81" s="10" t="s">
        <v>43</v>
      </c>
      <c r="U81" s="10">
        <v>5349</v>
      </c>
      <c r="V81" s="10" t="s">
        <v>450</v>
      </c>
      <c r="W81" s="11">
        <v>5341</v>
      </c>
      <c r="X81" s="10" t="s">
        <v>519</v>
      </c>
      <c r="Y81" s="12"/>
    </row>
    <row r="82" spans="1:25" x14ac:dyDescent="0.25">
      <c r="A82" s="3">
        <v>53</v>
      </c>
      <c r="B82" s="3" t="s">
        <v>25</v>
      </c>
      <c r="C82" s="4">
        <v>534930</v>
      </c>
      <c r="D82" s="5" t="s">
        <v>514</v>
      </c>
      <c r="E82" s="3">
        <v>5317</v>
      </c>
      <c r="F82" s="5" t="s">
        <v>508</v>
      </c>
      <c r="G82" s="3" t="s">
        <v>55</v>
      </c>
      <c r="H82" s="5" t="s">
        <v>520</v>
      </c>
      <c r="I82" s="5"/>
      <c r="J82" s="5" t="s">
        <v>521</v>
      </c>
      <c r="K82" s="5" t="s">
        <v>522</v>
      </c>
      <c r="L82" s="5" t="s">
        <v>35</v>
      </c>
      <c r="M82" s="5" t="s">
        <v>97</v>
      </c>
      <c r="N82" s="5" t="s">
        <v>97</v>
      </c>
      <c r="O82" s="5" t="s">
        <v>98</v>
      </c>
      <c r="P82" s="5" t="s">
        <v>39</v>
      </c>
      <c r="Q82" s="5" t="s">
        <v>523</v>
      </c>
      <c r="R82" s="5" t="s">
        <v>100</v>
      </c>
      <c r="S82" s="5" t="s">
        <v>42</v>
      </c>
      <c r="T82" s="5" t="s">
        <v>524</v>
      </c>
      <c r="U82" s="5">
        <v>5349</v>
      </c>
      <c r="V82" s="5" t="s">
        <v>450</v>
      </c>
      <c r="W82" s="6">
        <v>5341</v>
      </c>
      <c r="X82" s="5" t="s">
        <v>519</v>
      </c>
      <c r="Y82" s="7"/>
    </row>
    <row r="83" spans="1:25" x14ac:dyDescent="0.25">
      <c r="A83" s="8">
        <v>53</v>
      </c>
      <c r="B83" s="8" t="s">
        <v>25</v>
      </c>
      <c r="C83" s="9">
        <v>535041</v>
      </c>
      <c r="D83" s="10" t="s">
        <v>525</v>
      </c>
      <c r="E83" s="8">
        <v>5317</v>
      </c>
      <c r="F83" s="10" t="s">
        <v>508</v>
      </c>
      <c r="G83" s="8" t="s">
        <v>55</v>
      </c>
      <c r="H83" s="10" t="s">
        <v>526</v>
      </c>
      <c r="I83" s="10"/>
      <c r="J83" s="10" t="s">
        <v>527</v>
      </c>
      <c r="K83" s="10" t="s">
        <v>528</v>
      </c>
      <c r="L83" s="10" t="s">
        <v>35</v>
      </c>
      <c r="M83" s="10" t="s">
        <v>49</v>
      </c>
      <c r="N83" s="10" t="s">
        <v>529</v>
      </c>
      <c r="O83" s="10" t="s">
        <v>530</v>
      </c>
      <c r="P83" s="10" t="s">
        <v>39</v>
      </c>
      <c r="Q83" s="10" t="s">
        <v>62</v>
      </c>
      <c r="R83" s="10" t="s">
        <v>41</v>
      </c>
      <c r="S83" s="10" t="s">
        <v>82</v>
      </c>
      <c r="T83" s="10" t="s">
        <v>43</v>
      </c>
      <c r="U83" s="10">
        <v>5349</v>
      </c>
      <c r="V83" s="10" t="s">
        <v>450</v>
      </c>
      <c r="W83" s="11">
        <v>5341</v>
      </c>
      <c r="X83" s="10" t="s">
        <v>531</v>
      </c>
      <c r="Y83" s="12"/>
    </row>
    <row r="84" spans="1:25" x14ac:dyDescent="0.25">
      <c r="A84" s="3">
        <v>53</v>
      </c>
      <c r="B84" s="3" t="s">
        <v>25</v>
      </c>
      <c r="C84" s="4">
        <v>534960</v>
      </c>
      <c r="D84" s="5" t="s">
        <v>532</v>
      </c>
      <c r="E84" s="3">
        <v>5318</v>
      </c>
      <c r="F84" s="5" t="s">
        <v>533</v>
      </c>
      <c r="G84" s="3" t="s">
        <v>31</v>
      </c>
      <c r="H84" s="5" t="s">
        <v>534</v>
      </c>
      <c r="I84" s="5"/>
      <c r="J84" s="5" t="s">
        <v>535</v>
      </c>
      <c r="K84" s="5" t="s">
        <v>536</v>
      </c>
      <c r="L84" s="5" t="s">
        <v>78</v>
      </c>
      <c r="M84" s="5" t="s">
        <v>68</v>
      </c>
      <c r="N84" s="5" t="s">
        <v>167</v>
      </c>
      <c r="O84" s="5" t="s">
        <v>537</v>
      </c>
      <c r="P84" s="5" t="s">
        <v>199</v>
      </c>
      <c r="Q84" s="5" t="s">
        <v>81</v>
      </c>
      <c r="R84" s="5" t="s">
        <v>41</v>
      </c>
      <c r="S84" s="5" t="s">
        <v>137</v>
      </c>
      <c r="T84" s="5" t="s">
        <v>43</v>
      </c>
      <c r="U84" s="5">
        <v>5349</v>
      </c>
      <c r="V84" s="5" t="s">
        <v>450</v>
      </c>
      <c r="W84" s="6">
        <v>5341</v>
      </c>
      <c r="X84" s="5" t="s">
        <v>433</v>
      </c>
      <c r="Y84" s="7"/>
    </row>
    <row r="85" spans="1:25" x14ac:dyDescent="0.25">
      <c r="A85" s="8">
        <v>53</v>
      </c>
      <c r="B85" s="8" t="s">
        <v>25</v>
      </c>
      <c r="C85" s="9">
        <v>535090</v>
      </c>
      <c r="D85" s="10" t="s">
        <v>538</v>
      </c>
      <c r="E85" s="8">
        <v>5318</v>
      </c>
      <c r="F85" s="10" t="s">
        <v>533</v>
      </c>
      <c r="G85" s="8" t="s">
        <v>55</v>
      </c>
      <c r="H85" s="10" t="s">
        <v>539</v>
      </c>
      <c r="I85" s="10"/>
      <c r="J85" s="10" t="s">
        <v>540</v>
      </c>
      <c r="K85" s="10" t="s">
        <v>541</v>
      </c>
      <c r="L85" s="10" t="s">
        <v>35</v>
      </c>
      <c r="M85" s="10" t="s">
        <v>97</v>
      </c>
      <c r="N85" s="10" t="s">
        <v>97</v>
      </c>
      <c r="O85" s="10" t="s">
        <v>98</v>
      </c>
      <c r="P85" s="10" t="s">
        <v>107</v>
      </c>
      <c r="Q85" s="10" t="s">
        <v>542</v>
      </c>
      <c r="R85" s="10" t="s">
        <v>543</v>
      </c>
      <c r="S85" s="10" t="s">
        <v>109</v>
      </c>
      <c r="T85" s="10" t="s">
        <v>43</v>
      </c>
      <c r="U85" s="10">
        <v>5349</v>
      </c>
      <c r="V85" s="10" t="s">
        <v>450</v>
      </c>
      <c r="W85" s="11">
        <v>5341</v>
      </c>
      <c r="X85" s="10" t="s">
        <v>544</v>
      </c>
      <c r="Y85" s="12"/>
    </row>
    <row r="86" spans="1:25" x14ac:dyDescent="0.25">
      <c r="A86" s="3">
        <v>53</v>
      </c>
      <c r="B86" s="3" t="s">
        <v>25</v>
      </c>
      <c r="C86" s="4">
        <v>534950</v>
      </c>
      <c r="D86" s="5" t="s">
        <v>545</v>
      </c>
      <c r="E86" s="3">
        <v>5318</v>
      </c>
      <c r="F86" s="5" t="s">
        <v>533</v>
      </c>
      <c r="G86" s="3" t="s">
        <v>55</v>
      </c>
      <c r="H86" s="5" t="s">
        <v>546</v>
      </c>
      <c r="I86" s="5"/>
      <c r="J86" s="5" t="s">
        <v>547</v>
      </c>
      <c r="K86" s="5" t="s">
        <v>548</v>
      </c>
      <c r="L86" s="5" t="s">
        <v>78</v>
      </c>
      <c r="M86" s="5" t="s">
        <v>97</v>
      </c>
      <c r="N86" s="5" t="s">
        <v>97</v>
      </c>
      <c r="O86" s="5" t="s">
        <v>98</v>
      </c>
      <c r="P86" s="5" t="s">
        <v>39</v>
      </c>
      <c r="Q86" s="5" t="s">
        <v>549</v>
      </c>
      <c r="R86" s="5" t="s">
        <v>41</v>
      </c>
      <c r="S86" s="5" t="s">
        <v>82</v>
      </c>
      <c r="T86" s="5" t="s">
        <v>43</v>
      </c>
      <c r="U86" s="5">
        <v>5349</v>
      </c>
      <c r="V86" s="5" t="s">
        <v>450</v>
      </c>
      <c r="W86" s="6">
        <v>5341</v>
      </c>
      <c r="X86" s="5" t="s">
        <v>550</v>
      </c>
      <c r="Y86" s="7"/>
    </row>
    <row r="87" spans="1:25" x14ac:dyDescent="0.25">
      <c r="A87" s="8">
        <v>53</v>
      </c>
      <c r="B87" s="8" t="s">
        <v>25</v>
      </c>
      <c r="C87" s="9">
        <v>535010</v>
      </c>
      <c r="D87" s="10" t="s">
        <v>551</v>
      </c>
      <c r="E87" s="8">
        <v>5318</v>
      </c>
      <c r="F87" s="10" t="s">
        <v>533</v>
      </c>
      <c r="G87" s="8" t="s">
        <v>55</v>
      </c>
      <c r="H87" s="10" t="s">
        <v>552</v>
      </c>
      <c r="I87" s="10"/>
      <c r="J87" s="10" t="s">
        <v>553</v>
      </c>
      <c r="K87" s="10" t="s">
        <v>34</v>
      </c>
      <c r="L87" s="10" t="s">
        <v>78</v>
      </c>
      <c r="M87" s="10" t="s">
        <v>554</v>
      </c>
      <c r="N87" s="10" t="s">
        <v>555</v>
      </c>
      <c r="O87" s="10" t="s">
        <v>556</v>
      </c>
      <c r="P87" s="10" t="s">
        <v>39</v>
      </c>
      <c r="Q87" s="10" t="s">
        <v>557</v>
      </c>
      <c r="R87" s="10" t="s">
        <v>41</v>
      </c>
      <c r="S87" s="10" t="s">
        <v>82</v>
      </c>
      <c r="T87" s="10" t="s">
        <v>43</v>
      </c>
      <c r="U87" s="10">
        <v>5349</v>
      </c>
      <c r="V87" s="10" t="s">
        <v>450</v>
      </c>
      <c r="W87" s="11">
        <v>5341</v>
      </c>
      <c r="X87" s="10" t="s">
        <v>558</v>
      </c>
      <c r="Y87" s="12"/>
    </row>
    <row r="88" spans="1:25" x14ac:dyDescent="0.25">
      <c r="A88" s="3">
        <v>53</v>
      </c>
      <c r="B88" s="3" t="s">
        <v>25</v>
      </c>
      <c r="C88" s="4">
        <v>534980</v>
      </c>
      <c r="D88" s="5" t="s">
        <v>559</v>
      </c>
      <c r="E88" s="3">
        <v>5319</v>
      </c>
      <c r="F88" s="5" t="s">
        <v>560</v>
      </c>
      <c r="G88" s="3" t="s">
        <v>55</v>
      </c>
      <c r="H88" s="5" t="s">
        <v>561</v>
      </c>
      <c r="I88" s="5"/>
      <c r="J88" s="5" t="s">
        <v>562</v>
      </c>
      <c r="K88" s="5" t="s">
        <v>563</v>
      </c>
      <c r="L88" s="5" t="s">
        <v>78</v>
      </c>
      <c r="M88" s="5" t="s">
        <v>161</v>
      </c>
      <c r="N88" s="5" t="s">
        <v>162</v>
      </c>
      <c r="O88" s="5" t="s">
        <v>98</v>
      </c>
      <c r="P88" s="5" t="s">
        <v>39</v>
      </c>
      <c r="Q88" s="5" t="s">
        <v>564</v>
      </c>
      <c r="R88" s="5" t="s">
        <v>41</v>
      </c>
      <c r="S88" s="5" t="s">
        <v>42</v>
      </c>
      <c r="T88" s="5" t="s">
        <v>43</v>
      </c>
      <c r="U88" s="5">
        <v>5349</v>
      </c>
      <c r="V88" s="5" t="s">
        <v>450</v>
      </c>
      <c r="W88" s="6" t="s">
        <v>565</v>
      </c>
      <c r="X88" s="5" t="s">
        <v>566</v>
      </c>
      <c r="Y88" s="7"/>
    </row>
    <row r="89" spans="1:25" x14ac:dyDescent="0.25">
      <c r="A89" s="8">
        <v>53</v>
      </c>
      <c r="B89" s="8" t="s">
        <v>25</v>
      </c>
      <c r="C89" s="9">
        <v>534980</v>
      </c>
      <c r="D89" s="10" t="s">
        <v>559</v>
      </c>
      <c r="E89" s="8">
        <v>5319</v>
      </c>
      <c r="F89" s="10" t="s">
        <v>560</v>
      </c>
      <c r="G89" s="8" t="s">
        <v>55</v>
      </c>
      <c r="H89" s="10" t="s">
        <v>567</v>
      </c>
      <c r="I89" s="10"/>
      <c r="J89" s="10" t="s">
        <v>568</v>
      </c>
      <c r="K89" s="10" t="s">
        <v>569</v>
      </c>
      <c r="L89" s="10" t="s">
        <v>35</v>
      </c>
      <c r="M89" s="10" t="s">
        <v>68</v>
      </c>
      <c r="N89" s="10" t="s">
        <v>79</v>
      </c>
      <c r="O89" s="10" t="s">
        <v>570</v>
      </c>
      <c r="P89" s="10" t="s">
        <v>39</v>
      </c>
      <c r="Q89" s="10" t="s">
        <v>81</v>
      </c>
      <c r="R89" s="10" t="s">
        <v>41</v>
      </c>
      <c r="S89" s="10" t="s">
        <v>82</v>
      </c>
      <c r="T89" s="10" t="s">
        <v>43</v>
      </c>
      <c r="U89" s="10">
        <v>5349</v>
      </c>
      <c r="V89" s="10" t="s">
        <v>450</v>
      </c>
      <c r="W89" s="11" t="s">
        <v>565</v>
      </c>
      <c r="X89" s="10" t="s">
        <v>566</v>
      </c>
      <c r="Y89" s="12"/>
    </row>
    <row r="90" spans="1:25" x14ac:dyDescent="0.25">
      <c r="A90" s="3">
        <v>53</v>
      </c>
      <c r="B90" s="3" t="s">
        <v>25</v>
      </c>
      <c r="C90" s="4">
        <v>534640</v>
      </c>
      <c r="D90" s="5" t="s">
        <v>571</v>
      </c>
      <c r="E90" s="3">
        <v>5319</v>
      </c>
      <c r="F90" s="5" t="s">
        <v>560</v>
      </c>
      <c r="G90" s="3" t="s">
        <v>31</v>
      </c>
      <c r="H90" s="5" t="s">
        <v>572</v>
      </c>
      <c r="I90" s="5"/>
      <c r="J90" s="5" t="s">
        <v>573</v>
      </c>
      <c r="K90" s="5" t="s">
        <v>34</v>
      </c>
      <c r="L90" s="5" t="s">
        <v>35</v>
      </c>
      <c r="M90" s="5" t="s">
        <v>97</v>
      </c>
      <c r="N90" s="5" t="s">
        <v>97</v>
      </c>
      <c r="O90" s="5" t="s">
        <v>98</v>
      </c>
      <c r="P90" s="5" t="s">
        <v>128</v>
      </c>
      <c r="Q90" s="5" t="s">
        <v>574</v>
      </c>
      <c r="R90" s="5" t="s">
        <v>385</v>
      </c>
      <c r="S90" s="5" t="s">
        <v>575</v>
      </c>
      <c r="T90" s="5" t="s">
        <v>43</v>
      </c>
      <c r="U90" s="5">
        <v>5346</v>
      </c>
      <c r="V90" s="5" t="s">
        <v>118</v>
      </c>
      <c r="W90" s="6" t="s">
        <v>565</v>
      </c>
      <c r="X90" s="5" t="s">
        <v>576</v>
      </c>
      <c r="Y90" s="7"/>
    </row>
    <row r="91" spans="1:25" x14ac:dyDescent="0.25">
      <c r="A91" s="8">
        <v>53</v>
      </c>
      <c r="B91" s="8" t="s">
        <v>25</v>
      </c>
      <c r="C91" s="9">
        <v>534661</v>
      </c>
      <c r="D91" s="10" t="s">
        <v>577</v>
      </c>
      <c r="E91" s="8">
        <v>5319</v>
      </c>
      <c r="F91" s="10" t="s">
        <v>560</v>
      </c>
      <c r="G91" s="8" t="s">
        <v>55</v>
      </c>
      <c r="H91" s="10" t="s">
        <v>578</v>
      </c>
      <c r="I91" s="10"/>
      <c r="J91" s="10" t="s">
        <v>579</v>
      </c>
      <c r="K91" s="10" t="s">
        <v>580</v>
      </c>
      <c r="L91" s="10" t="s">
        <v>78</v>
      </c>
      <c r="M91" s="10" t="s">
        <v>161</v>
      </c>
      <c r="N91" s="10" t="s">
        <v>162</v>
      </c>
      <c r="O91" s="10" t="s">
        <v>98</v>
      </c>
      <c r="P91" s="10" t="s">
        <v>39</v>
      </c>
      <c r="Q91" s="10" t="s">
        <v>99</v>
      </c>
      <c r="R91" s="10" t="s">
        <v>581</v>
      </c>
      <c r="S91" s="10" t="s">
        <v>582</v>
      </c>
      <c r="T91" s="10" t="s">
        <v>43</v>
      </c>
      <c r="U91" s="10">
        <v>5346</v>
      </c>
      <c r="V91" s="10" t="s">
        <v>118</v>
      </c>
      <c r="W91" s="11" t="s">
        <v>565</v>
      </c>
      <c r="X91" s="10" t="s">
        <v>583</v>
      </c>
      <c r="Y91" s="12"/>
    </row>
    <row r="92" spans="1:25" x14ac:dyDescent="0.25">
      <c r="A92" s="3">
        <v>53</v>
      </c>
      <c r="B92" s="3" t="s">
        <v>25</v>
      </c>
      <c r="C92" s="4">
        <v>534750</v>
      </c>
      <c r="D92" s="5" t="s">
        <v>584</v>
      </c>
      <c r="E92" s="3">
        <v>5320</v>
      </c>
      <c r="F92" s="5" t="s">
        <v>585</v>
      </c>
      <c r="G92" s="3" t="s">
        <v>55</v>
      </c>
      <c r="H92" s="5" t="s">
        <v>586</v>
      </c>
      <c r="I92" s="5"/>
      <c r="J92" s="5" t="s">
        <v>587</v>
      </c>
      <c r="K92" s="5" t="s">
        <v>588</v>
      </c>
      <c r="L92" s="5" t="s">
        <v>78</v>
      </c>
      <c r="M92" s="5" t="s">
        <v>68</v>
      </c>
      <c r="N92" s="5" t="s">
        <v>69</v>
      </c>
      <c r="O92" s="5" t="s">
        <v>589</v>
      </c>
      <c r="P92" s="5" t="s">
        <v>39</v>
      </c>
      <c r="Q92" s="5" t="s">
        <v>40</v>
      </c>
      <c r="R92" s="5" t="s">
        <v>41</v>
      </c>
      <c r="S92" s="5" t="s">
        <v>137</v>
      </c>
      <c r="T92" s="5" t="s">
        <v>43</v>
      </c>
      <c r="U92" s="5">
        <v>5346</v>
      </c>
      <c r="V92" s="5" t="s">
        <v>118</v>
      </c>
      <c r="W92" s="6" t="s">
        <v>565</v>
      </c>
      <c r="X92" s="5" t="s">
        <v>590</v>
      </c>
      <c r="Y92" s="7"/>
    </row>
    <row r="93" spans="1:25" x14ac:dyDescent="0.25">
      <c r="A93" s="8">
        <v>53</v>
      </c>
      <c r="B93" s="8" t="s">
        <v>25</v>
      </c>
      <c r="C93" s="9">
        <v>534720</v>
      </c>
      <c r="D93" s="10" t="s">
        <v>591</v>
      </c>
      <c r="E93" s="8">
        <v>5320</v>
      </c>
      <c r="F93" s="10" t="s">
        <v>585</v>
      </c>
      <c r="G93" s="8" t="s">
        <v>55</v>
      </c>
      <c r="H93" s="10" t="s">
        <v>592</v>
      </c>
      <c r="I93" s="10"/>
      <c r="J93" s="10" t="s">
        <v>593</v>
      </c>
      <c r="K93" s="10" t="s">
        <v>594</v>
      </c>
      <c r="L93" s="10" t="s">
        <v>78</v>
      </c>
      <c r="M93" s="10" t="s">
        <v>161</v>
      </c>
      <c r="N93" s="10" t="s">
        <v>162</v>
      </c>
      <c r="O93" s="10" t="s">
        <v>98</v>
      </c>
      <c r="P93" s="10" t="s">
        <v>39</v>
      </c>
      <c r="Q93" s="10" t="s">
        <v>99</v>
      </c>
      <c r="R93" s="10" t="s">
        <v>100</v>
      </c>
      <c r="S93" s="10" t="s">
        <v>42</v>
      </c>
      <c r="T93" s="10" t="s">
        <v>595</v>
      </c>
      <c r="U93" s="10">
        <v>5346</v>
      </c>
      <c r="V93" s="10" t="s">
        <v>118</v>
      </c>
      <c r="W93" s="11" t="s">
        <v>565</v>
      </c>
      <c r="X93" s="10" t="s">
        <v>596</v>
      </c>
      <c r="Y93" s="12"/>
    </row>
    <row r="94" spans="1:25" x14ac:dyDescent="0.25">
      <c r="A94" s="3">
        <v>53</v>
      </c>
      <c r="B94" s="3" t="s">
        <v>25</v>
      </c>
      <c r="C94" s="4">
        <v>534720</v>
      </c>
      <c r="D94" s="5" t="s">
        <v>591</v>
      </c>
      <c r="E94" s="3">
        <v>5320</v>
      </c>
      <c r="F94" s="5" t="s">
        <v>585</v>
      </c>
      <c r="G94" s="3" t="s">
        <v>55</v>
      </c>
      <c r="H94" s="5" t="s">
        <v>597</v>
      </c>
      <c r="I94" s="5"/>
      <c r="J94" s="5" t="s">
        <v>598</v>
      </c>
      <c r="K94" s="5" t="s">
        <v>599</v>
      </c>
      <c r="L94" s="5" t="s">
        <v>78</v>
      </c>
      <c r="M94" s="5" t="s">
        <v>161</v>
      </c>
      <c r="N94" s="5" t="s">
        <v>162</v>
      </c>
      <c r="O94" s="5" t="s">
        <v>98</v>
      </c>
      <c r="P94" s="5" t="s">
        <v>39</v>
      </c>
      <c r="Q94" s="5" t="s">
        <v>99</v>
      </c>
      <c r="R94" s="5" t="s">
        <v>100</v>
      </c>
      <c r="S94" s="5" t="s">
        <v>137</v>
      </c>
      <c r="T94" s="5" t="s">
        <v>43</v>
      </c>
      <c r="U94" s="5">
        <v>5346</v>
      </c>
      <c r="V94" s="5" t="s">
        <v>118</v>
      </c>
      <c r="W94" s="6" t="s">
        <v>565</v>
      </c>
      <c r="X94" s="5" t="s">
        <v>596</v>
      </c>
      <c r="Y94" s="7"/>
    </row>
    <row r="95" spans="1:25" x14ac:dyDescent="0.25">
      <c r="A95" s="8">
        <v>53</v>
      </c>
      <c r="B95" s="8" t="s">
        <v>25</v>
      </c>
      <c r="C95" s="9">
        <v>534720</v>
      </c>
      <c r="D95" s="10" t="s">
        <v>591</v>
      </c>
      <c r="E95" s="8">
        <v>5320</v>
      </c>
      <c r="F95" s="10" t="s">
        <v>585</v>
      </c>
      <c r="G95" s="8" t="s">
        <v>55</v>
      </c>
      <c r="H95" s="10" t="s">
        <v>600</v>
      </c>
      <c r="I95" s="10"/>
      <c r="J95" s="10" t="s">
        <v>598</v>
      </c>
      <c r="K95" s="10" t="s">
        <v>599</v>
      </c>
      <c r="L95" s="10" t="s">
        <v>78</v>
      </c>
      <c r="M95" s="10" t="s">
        <v>161</v>
      </c>
      <c r="N95" s="10" t="s">
        <v>162</v>
      </c>
      <c r="O95" s="10" t="s">
        <v>98</v>
      </c>
      <c r="P95" s="10" t="s">
        <v>39</v>
      </c>
      <c r="Q95" s="10" t="s">
        <v>99</v>
      </c>
      <c r="R95" s="10" t="s">
        <v>100</v>
      </c>
      <c r="S95" s="10" t="s">
        <v>137</v>
      </c>
      <c r="T95" s="10" t="s">
        <v>43</v>
      </c>
      <c r="U95" s="10">
        <v>5346</v>
      </c>
      <c r="V95" s="10" t="s">
        <v>118</v>
      </c>
      <c r="W95" s="11" t="s">
        <v>565</v>
      </c>
      <c r="X95" s="10" t="s">
        <v>596</v>
      </c>
      <c r="Y95" s="12"/>
    </row>
    <row r="96" spans="1:25" x14ac:dyDescent="0.25">
      <c r="A96" s="3">
        <v>53</v>
      </c>
      <c r="B96" s="3" t="s">
        <v>25</v>
      </c>
      <c r="C96" s="4">
        <v>534600</v>
      </c>
      <c r="D96" s="5" t="s">
        <v>601</v>
      </c>
      <c r="E96" s="3">
        <v>5321</v>
      </c>
      <c r="F96" s="5" t="s">
        <v>602</v>
      </c>
      <c r="G96" s="3" t="s">
        <v>395</v>
      </c>
      <c r="H96" s="5" t="s">
        <v>603</v>
      </c>
      <c r="I96" s="5"/>
      <c r="J96" s="5" t="s">
        <v>604</v>
      </c>
      <c r="K96" s="5" t="s">
        <v>605</v>
      </c>
      <c r="L96" s="5" t="s">
        <v>78</v>
      </c>
      <c r="M96" s="5" t="s">
        <v>97</v>
      </c>
      <c r="N96" s="5" t="s">
        <v>97</v>
      </c>
      <c r="O96" s="5" t="s">
        <v>98</v>
      </c>
      <c r="P96" s="5" t="s">
        <v>39</v>
      </c>
      <c r="Q96" s="5" t="s">
        <v>606</v>
      </c>
      <c r="R96" s="5" t="s">
        <v>100</v>
      </c>
      <c r="S96" s="5" t="s">
        <v>607</v>
      </c>
      <c r="T96" s="5" t="s">
        <v>608</v>
      </c>
      <c r="U96" s="5">
        <v>5346</v>
      </c>
      <c r="V96" s="5" t="s">
        <v>118</v>
      </c>
      <c r="W96" s="6" t="s">
        <v>565</v>
      </c>
      <c r="X96" s="5" t="s">
        <v>609</v>
      </c>
      <c r="Y96" s="7"/>
    </row>
    <row r="97" spans="1:25" x14ac:dyDescent="0.25">
      <c r="A97" s="8">
        <v>53</v>
      </c>
      <c r="B97" s="8" t="s">
        <v>25</v>
      </c>
      <c r="C97" s="9">
        <v>534600</v>
      </c>
      <c r="D97" s="10" t="s">
        <v>601</v>
      </c>
      <c r="E97" s="8">
        <v>5321</v>
      </c>
      <c r="F97" s="10" t="s">
        <v>602</v>
      </c>
      <c r="G97" s="8" t="s">
        <v>395</v>
      </c>
      <c r="H97" s="10" t="s">
        <v>610</v>
      </c>
      <c r="I97" s="10"/>
      <c r="J97" s="10" t="s">
        <v>611</v>
      </c>
      <c r="K97" s="10" t="s">
        <v>605</v>
      </c>
      <c r="L97" s="10" t="s">
        <v>35</v>
      </c>
      <c r="M97" s="10" t="s">
        <v>97</v>
      </c>
      <c r="N97" s="10" t="s">
        <v>97</v>
      </c>
      <c r="O97" s="10" t="s">
        <v>98</v>
      </c>
      <c r="P97" s="10" t="s">
        <v>39</v>
      </c>
      <c r="Q97" s="10" t="s">
        <v>574</v>
      </c>
      <c r="R97" s="10" t="s">
        <v>100</v>
      </c>
      <c r="S97" s="10" t="s">
        <v>137</v>
      </c>
      <c r="T97" s="10" t="s">
        <v>612</v>
      </c>
      <c r="U97" s="10">
        <v>5346</v>
      </c>
      <c r="V97" s="10" t="s">
        <v>118</v>
      </c>
      <c r="W97" s="11" t="s">
        <v>565</v>
      </c>
      <c r="X97" s="10" t="s">
        <v>609</v>
      </c>
      <c r="Y97" s="12"/>
    </row>
    <row r="98" spans="1:25" x14ac:dyDescent="0.25">
      <c r="A98" s="3">
        <v>53</v>
      </c>
      <c r="B98" s="3" t="s">
        <v>25</v>
      </c>
      <c r="C98" s="4">
        <v>534600</v>
      </c>
      <c r="D98" s="5" t="s">
        <v>601</v>
      </c>
      <c r="E98" s="3">
        <v>5321</v>
      </c>
      <c r="F98" s="5" t="s">
        <v>602</v>
      </c>
      <c r="G98" s="3" t="s">
        <v>395</v>
      </c>
      <c r="H98" s="5" t="s">
        <v>613</v>
      </c>
      <c r="I98" s="5"/>
      <c r="J98" s="5" t="s">
        <v>614</v>
      </c>
      <c r="K98" s="5" t="s">
        <v>615</v>
      </c>
      <c r="L98" s="5" t="s">
        <v>78</v>
      </c>
      <c r="M98" s="5" t="s">
        <v>68</v>
      </c>
      <c r="N98" s="5" t="s">
        <v>69</v>
      </c>
      <c r="O98" s="5" t="s">
        <v>616</v>
      </c>
      <c r="P98" s="5" t="s">
        <v>39</v>
      </c>
      <c r="Q98" s="5" t="s">
        <v>40</v>
      </c>
      <c r="R98" s="5" t="s">
        <v>41</v>
      </c>
      <c r="S98" s="5" t="s">
        <v>137</v>
      </c>
      <c r="T98" s="5" t="s">
        <v>43</v>
      </c>
      <c r="U98" s="5">
        <v>5346</v>
      </c>
      <c r="V98" s="5" t="s">
        <v>118</v>
      </c>
      <c r="W98" s="6" t="s">
        <v>565</v>
      </c>
      <c r="X98" s="5" t="s">
        <v>609</v>
      </c>
      <c r="Y98" s="7"/>
    </row>
    <row r="99" spans="1:25" x14ac:dyDescent="0.25">
      <c r="A99" s="8">
        <v>53</v>
      </c>
      <c r="B99" s="8" t="s">
        <v>25</v>
      </c>
      <c r="C99" s="9">
        <v>534600</v>
      </c>
      <c r="D99" s="10" t="s">
        <v>601</v>
      </c>
      <c r="E99" s="8">
        <v>5321</v>
      </c>
      <c r="F99" s="10" t="s">
        <v>602</v>
      </c>
      <c r="G99" s="8" t="s">
        <v>395</v>
      </c>
      <c r="H99" s="10" t="s">
        <v>617</v>
      </c>
      <c r="I99" s="10"/>
      <c r="J99" s="10" t="s">
        <v>618</v>
      </c>
      <c r="K99" s="10" t="s">
        <v>619</v>
      </c>
      <c r="L99" s="10" t="s">
        <v>78</v>
      </c>
      <c r="M99" s="10" t="s">
        <v>125</v>
      </c>
      <c r="N99" s="10" t="s">
        <v>126</v>
      </c>
      <c r="O99" s="10" t="s">
        <v>620</v>
      </c>
      <c r="P99" s="10" t="s">
        <v>128</v>
      </c>
      <c r="Q99" s="10" t="s">
        <v>129</v>
      </c>
      <c r="R99" s="10" t="s">
        <v>41</v>
      </c>
      <c r="S99" s="10" t="s">
        <v>42</v>
      </c>
      <c r="T99" s="10" t="s">
        <v>43</v>
      </c>
      <c r="U99" s="10">
        <v>5346</v>
      </c>
      <c r="V99" s="10" t="s">
        <v>118</v>
      </c>
      <c r="W99" s="11" t="s">
        <v>565</v>
      </c>
      <c r="X99" s="10" t="s">
        <v>609</v>
      </c>
      <c r="Y99" s="12"/>
    </row>
    <row r="100" spans="1:25" x14ac:dyDescent="0.25">
      <c r="A100" s="3">
        <v>53</v>
      </c>
      <c r="B100" s="3" t="s">
        <v>25</v>
      </c>
      <c r="C100" s="4">
        <v>534800</v>
      </c>
      <c r="D100" s="5" t="s">
        <v>621</v>
      </c>
      <c r="E100" s="3">
        <v>5321</v>
      </c>
      <c r="F100" s="5" t="s">
        <v>602</v>
      </c>
      <c r="G100" s="3" t="s">
        <v>55</v>
      </c>
      <c r="H100" s="5" t="s">
        <v>622</v>
      </c>
      <c r="I100" s="5"/>
      <c r="J100" s="5" t="s">
        <v>623</v>
      </c>
      <c r="K100" s="5" t="s">
        <v>34</v>
      </c>
      <c r="L100" s="5" t="s">
        <v>35</v>
      </c>
      <c r="M100" s="5" t="s">
        <v>244</v>
      </c>
      <c r="N100" s="5" t="s">
        <v>624</v>
      </c>
      <c r="O100" s="5" t="s">
        <v>232</v>
      </c>
      <c r="P100" s="5" t="s">
        <v>199</v>
      </c>
      <c r="Q100" s="5" t="s">
        <v>625</v>
      </c>
      <c r="R100" s="5" t="s">
        <v>100</v>
      </c>
      <c r="S100" s="5" t="s">
        <v>82</v>
      </c>
      <c r="T100" s="5" t="s">
        <v>43</v>
      </c>
      <c r="U100" s="5">
        <v>5346</v>
      </c>
      <c r="V100" s="5" t="s">
        <v>118</v>
      </c>
      <c r="W100" s="6" t="s">
        <v>565</v>
      </c>
      <c r="X100" s="5" t="s">
        <v>626</v>
      </c>
      <c r="Y100" s="7"/>
    </row>
    <row r="101" spans="1:25" x14ac:dyDescent="0.25">
      <c r="A101" s="8">
        <v>53</v>
      </c>
      <c r="B101" s="8" t="s">
        <v>25</v>
      </c>
      <c r="C101" s="9">
        <v>534770</v>
      </c>
      <c r="D101" s="10" t="s">
        <v>627</v>
      </c>
      <c r="E101" s="8">
        <v>5321</v>
      </c>
      <c r="F101" s="10" t="s">
        <v>602</v>
      </c>
      <c r="G101" s="8" t="s">
        <v>55</v>
      </c>
      <c r="H101" s="10" t="s">
        <v>628</v>
      </c>
      <c r="I101" s="10"/>
      <c r="J101" s="10" t="s">
        <v>629</v>
      </c>
      <c r="K101" s="10" t="s">
        <v>630</v>
      </c>
      <c r="L101" s="10" t="s">
        <v>78</v>
      </c>
      <c r="M101" s="10" t="s">
        <v>68</v>
      </c>
      <c r="N101" s="10" t="s">
        <v>69</v>
      </c>
      <c r="O101" s="10" t="s">
        <v>631</v>
      </c>
      <c r="P101" s="10" t="s">
        <v>39</v>
      </c>
      <c r="Q101" s="10" t="s">
        <v>40</v>
      </c>
      <c r="R101" s="10" t="s">
        <v>41</v>
      </c>
      <c r="S101" s="10" t="s">
        <v>137</v>
      </c>
      <c r="T101" s="10" t="s">
        <v>43</v>
      </c>
      <c r="U101" s="10">
        <v>5346</v>
      </c>
      <c r="V101" s="10" t="s">
        <v>118</v>
      </c>
      <c r="W101" s="11" t="s">
        <v>565</v>
      </c>
      <c r="X101" s="10" t="s">
        <v>632</v>
      </c>
      <c r="Y101" s="12"/>
    </row>
    <row r="102" spans="1:25" x14ac:dyDescent="0.25">
      <c r="A102" s="3">
        <v>53</v>
      </c>
      <c r="B102" s="3" t="s">
        <v>25</v>
      </c>
      <c r="C102" s="4">
        <v>536990</v>
      </c>
      <c r="D102" s="5" t="s">
        <v>633</v>
      </c>
      <c r="E102" s="3">
        <v>5322</v>
      </c>
      <c r="F102" s="5" t="s">
        <v>634</v>
      </c>
      <c r="G102" s="3" t="s">
        <v>55</v>
      </c>
      <c r="H102" s="5" t="s">
        <v>635</v>
      </c>
      <c r="I102" s="5"/>
      <c r="J102" s="5" t="s">
        <v>636</v>
      </c>
      <c r="K102" s="5" t="s">
        <v>637</v>
      </c>
      <c r="L102" s="5" t="s">
        <v>78</v>
      </c>
      <c r="M102" s="5" t="s">
        <v>36</v>
      </c>
      <c r="N102" s="5" t="s">
        <v>260</v>
      </c>
      <c r="O102" s="5" t="s">
        <v>38</v>
      </c>
      <c r="P102" s="5" t="s">
        <v>39</v>
      </c>
      <c r="Q102" s="5" t="s">
        <v>247</v>
      </c>
      <c r="R102" s="5" t="s">
        <v>100</v>
      </c>
      <c r="S102" s="5" t="s">
        <v>90</v>
      </c>
      <c r="T102" s="5" t="s">
        <v>43</v>
      </c>
      <c r="U102" s="5">
        <v>5367</v>
      </c>
      <c r="V102" s="5" t="s">
        <v>83</v>
      </c>
      <c r="W102" s="6">
        <v>5314</v>
      </c>
      <c r="X102" s="5" t="s">
        <v>576</v>
      </c>
      <c r="Y102" s="7"/>
    </row>
    <row r="103" spans="1:25" x14ac:dyDescent="0.25">
      <c r="A103" s="8">
        <v>53</v>
      </c>
      <c r="B103" s="8" t="s">
        <v>25</v>
      </c>
      <c r="C103" s="9">
        <v>536990</v>
      </c>
      <c r="D103" s="10" t="s">
        <v>633</v>
      </c>
      <c r="E103" s="8">
        <v>5322</v>
      </c>
      <c r="F103" s="10" t="s">
        <v>634</v>
      </c>
      <c r="G103" s="8" t="s">
        <v>55</v>
      </c>
      <c r="H103" s="10" t="s">
        <v>638</v>
      </c>
      <c r="I103" s="10"/>
      <c r="J103" s="10" t="s">
        <v>639</v>
      </c>
      <c r="K103" s="10" t="s">
        <v>640</v>
      </c>
      <c r="L103" s="10" t="s">
        <v>35</v>
      </c>
      <c r="M103" s="10" t="s">
        <v>97</v>
      </c>
      <c r="N103" s="10" t="s">
        <v>97</v>
      </c>
      <c r="O103" s="10" t="s">
        <v>98</v>
      </c>
      <c r="P103" s="10" t="s">
        <v>39</v>
      </c>
      <c r="Q103" s="10" t="s">
        <v>491</v>
      </c>
      <c r="R103" s="10" t="s">
        <v>641</v>
      </c>
      <c r="S103" s="10" t="s">
        <v>642</v>
      </c>
      <c r="T103" s="10" t="s">
        <v>43</v>
      </c>
      <c r="U103" s="10">
        <v>5367</v>
      </c>
      <c r="V103" s="10" t="s">
        <v>83</v>
      </c>
      <c r="W103" s="11">
        <v>5314</v>
      </c>
      <c r="X103" s="10" t="s">
        <v>576</v>
      </c>
      <c r="Y103" s="12"/>
    </row>
    <row r="104" spans="1:25" x14ac:dyDescent="0.25">
      <c r="A104" s="3">
        <v>53</v>
      </c>
      <c r="B104" s="3" t="s">
        <v>25</v>
      </c>
      <c r="C104" s="4">
        <v>536980</v>
      </c>
      <c r="D104" s="5" t="s">
        <v>643</v>
      </c>
      <c r="E104" s="3">
        <v>5322</v>
      </c>
      <c r="F104" s="5" t="s">
        <v>634</v>
      </c>
      <c r="G104" s="3" t="s">
        <v>55</v>
      </c>
      <c r="H104" s="5" t="s">
        <v>644</v>
      </c>
      <c r="I104" s="5"/>
      <c r="J104" s="5" t="s">
        <v>645</v>
      </c>
      <c r="K104" s="5" t="s">
        <v>646</v>
      </c>
      <c r="L104" s="5" t="s">
        <v>35</v>
      </c>
      <c r="M104" s="5" t="s">
        <v>97</v>
      </c>
      <c r="N104" s="5" t="s">
        <v>97</v>
      </c>
      <c r="O104" s="5" t="s">
        <v>98</v>
      </c>
      <c r="P104" s="5" t="s">
        <v>39</v>
      </c>
      <c r="Q104" s="5" t="s">
        <v>647</v>
      </c>
      <c r="R104" s="5" t="s">
        <v>100</v>
      </c>
      <c r="S104" s="5" t="s">
        <v>137</v>
      </c>
      <c r="T104" s="5" t="s">
        <v>43</v>
      </c>
      <c r="U104" s="5">
        <v>5367</v>
      </c>
      <c r="V104" s="5" t="s">
        <v>83</v>
      </c>
      <c r="W104" s="6">
        <v>5314</v>
      </c>
      <c r="X104" s="5" t="s">
        <v>648</v>
      </c>
      <c r="Y104" s="7"/>
    </row>
    <row r="105" spans="1:25" x14ac:dyDescent="0.25">
      <c r="A105" s="8">
        <v>53</v>
      </c>
      <c r="B105" s="8" t="s">
        <v>25</v>
      </c>
      <c r="C105" s="9">
        <v>536830</v>
      </c>
      <c r="D105" s="10" t="s">
        <v>649</v>
      </c>
      <c r="E105" s="8">
        <v>5323</v>
      </c>
      <c r="F105" s="10" t="s">
        <v>650</v>
      </c>
      <c r="G105" s="8" t="s">
        <v>55</v>
      </c>
      <c r="H105" s="10" t="s">
        <v>651</v>
      </c>
      <c r="I105" s="10"/>
      <c r="J105" s="10" t="s">
        <v>652</v>
      </c>
      <c r="K105" s="10" t="s">
        <v>653</v>
      </c>
      <c r="L105" s="10" t="s">
        <v>78</v>
      </c>
      <c r="M105" s="10" t="s">
        <v>244</v>
      </c>
      <c r="N105" s="10" t="s">
        <v>409</v>
      </c>
      <c r="O105" s="10" t="s">
        <v>246</v>
      </c>
      <c r="P105" s="10" t="s">
        <v>61</v>
      </c>
      <c r="Q105" s="10" t="s">
        <v>99</v>
      </c>
      <c r="R105" s="10" t="s">
        <v>100</v>
      </c>
      <c r="S105" s="10" t="s">
        <v>90</v>
      </c>
      <c r="T105" s="10" t="s">
        <v>654</v>
      </c>
      <c r="U105" s="10">
        <v>5367</v>
      </c>
      <c r="V105" s="10" t="s">
        <v>83</v>
      </c>
      <c r="W105" s="11">
        <v>5314</v>
      </c>
      <c r="X105" s="10" t="s">
        <v>655</v>
      </c>
      <c r="Y105" s="12"/>
    </row>
    <row r="106" spans="1:25" x14ac:dyDescent="0.25">
      <c r="A106" s="3">
        <v>53</v>
      </c>
      <c r="B106" s="3" t="s">
        <v>25</v>
      </c>
      <c r="C106" s="4">
        <v>536830</v>
      </c>
      <c r="D106" s="5" t="s">
        <v>649</v>
      </c>
      <c r="E106" s="3">
        <v>5323</v>
      </c>
      <c r="F106" s="5" t="s">
        <v>650</v>
      </c>
      <c r="G106" s="3" t="s">
        <v>55</v>
      </c>
      <c r="H106" s="5" t="s">
        <v>656</v>
      </c>
      <c r="I106" s="5"/>
      <c r="J106" s="5" t="s">
        <v>657</v>
      </c>
      <c r="K106" s="5" t="s">
        <v>658</v>
      </c>
      <c r="L106" s="5" t="s">
        <v>78</v>
      </c>
      <c r="M106" s="5" t="s">
        <v>244</v>
      </c>
      <c r="N106" s="5" t="s">
        <v>409</v>
      </c>
      <c r="O106" s="5" t="s">
        <v>246</v>
      </c>
      <c r="P106" s="5" t="s">
        <v>61</v>
      </c>
      <c r="Q106" s="5" t="s">
        <v>99</v>
      </c>
      <c r="R106" s="5" t="s">
        <v>100</v>
      </c>
      <c r="S106" s="5" t="s">
        <v>90</v>
      </c>
      <c r="T106" s="5" t="s">
        <v>43</v>
      </c>
      <c r="U106" s="5">
        <v>5367</v>
      </c>
      <c r="V106" s="5" t="s">
        <v>83</v>
      </c>
      <c r="W106" s="6">
        <v>5314</v>
      </c>
      <c r="X106" s="5" t="s">
        <v>655</v>
      </c>
      <c r="Y106" s="7"/>
    </row>
    <row r="107" spans="1:25" x14ac:dyDescent="0.25">
      <c r="A107" s="8">
        <v>53</v>
      </c>
      <c r="B107" s="8" t="s">
        <v>25</v>
      </c>
      <c r="C107" s="9">
        <v>536850</v>
      </c>
      <c r="D107" s="10" t="s">
        <v>659</v>
      </c>
      <c r="E107" s="8">
        <v>5323</v>
      </c>
      <c r="F107" s="10" t="s">
        <v>650</v>
      </c>
      <c r="G107" s="8" t="s">
        <v>55</v>
      </c>
      <c r="H107" s="10" t="s">
        <v>660</v>
      </c>
      <c r="I107" s="10"/>
      <c r="J107" s="10" t="s">
        <v>661</v>
      </c>
      <c r="K107" s="10" t="s">
        <v>662</v>
      </c>
      <c r="L107" s="10" t="s">
        <v>35</v>
      </c>
      <c r="M107" s="10" t="s">
        <v>663</v>
      </c>
      <c r="N107" s="10" t="s">
        <v>664</v>
      </c>
      <c r="O107" s="10" t="s">
        <v>246</v>
      </c>
      <c r="P107" s="10" t="s">
        <v>61</v>
      </c>
      <c r="Q107" s="10" t="s">
        <v>81</v>
      </c>
      <c r="R107" s="10" t="s">
        <v>100</v>
      </c>
      <c r="S107" s="10" t="s">
        <v>90</v>
      </c>
      <c r="T107" s="10" t="s">
        <v>43</v>
      </c>
      <c r="U107" s="10">
        <v>5367</v>
      </c>
      <c r="V107" s="10" t="s">
        <v>83</v>
      </c>
      <c r="W107" s="11">
        <v>5314</v>
      </c>
      <c r="X107" s="10" t="s">
        <v>665</v>
      </c>
      <c r="Y107" s="12"/>
    </row>
    <row r="108" spans="1:25" x14ac:dyDescent="0.25">
      <c r="A108" s="3">
        <v>53</v>
      </c>
      <c r="B108" s="3" t="s">
        <v>25</v>
      </c>
      <c r="C108" s="4">
        <v>536940</v>
      </c>
      <c r="D108" s="5" t="s">
        <v>666</v>
      </c>
      <c r="E108" s="3">
        <v>5323</v>
      </c>
      <c r="F108" s="5" t="s">
        <v>650</v>
      </c>
      <c r="G108" s="3" t="s">
        <v>55</v>
      </c>
      <c r="H108" s="5" t="s">
        <v>667</v>
      </c>
      <c r="I108" s="5"/>
      <c r="J108" s="5" t="s">
        <v>668</v>
      </c>
      <c r="K108" s="5" t="s">
        <v>34</v>
      </c>
      <c r="L108" s="5" t="s">
        <v>78</v>
      </c>
      <c r="M108" s="5" t="s">
        <v>244</v>
      </c>
      <c r="N108" s="5" t="s">
        <v>409</v>
      </c>
      <c r="O108" s="5" t="s">
        <v>246</v>
      </c>
      <c r="P108" s="5" t="s">
        <v>39</v>
      </c>
      <c r="Q108" s="5" t="s">
        <v>99</v>
      </c>
      <c r="R108" s="5" t="s">
        <v>41</v>
      </c>
      <c r="S108" s="5" t="s">
        <v>52</v>
      </c>
      <c r="T108" s="5" t="s">
        <v>43</v>
      </c>
      <c r="U108" s="5">
        <v>5367</v>
      </c>
      <c r="V108" s="5" t="s">
        <v>83</v>
      </c>
      <c r="W108" s="6">
        <v>5314</v>
      </c>
      <c r="X108" s="5" t="s">
        <v>669</v>
      </c>
      <c r="Y108" s="7"/>
    </row>
    <row r="109" spans="1:25" x14ac:dyDescent="0.25">
      <c r="A109" s="8">
        <v>53</v>
      </c>
      <c r="B109" s="8" t="s">
        <v>25</v>
      </c>
      <c r="C109" s="9">
        <v>536700</v>
      </c>
      <c r="D109" s="10" t="s">
        <v>670</v>
      </c>
      <c r="E109" s="8">
        <v>5324</v>
      </c>
      <c r="F109" s="10" t="s">
        <v>671</v>
      </c>
      <c r="G109" s="8" t="s">
        <v>395</v>
      </c>
      <c r="H109" s="10" t="s">
        <v>672</v>
      </c>
      <c r="I109" s="10"/>
      <c r="J109" s="10" t="s">
        <v>673</v>
      </c>
      <c r="K109" s="10" t="s">
        <v>674</v>
      </c>
      <c r="L109" s="10" t="s">
        <v>78</v>
      </c>
      <c r="M109" s="10" t="s">
        <v>49</v>
      </c>
      <c r="N109" s="10" t="s">
        <v>50</v>
      </c>
      <c r="O109" s="10" t="s">
        <v>675</v>
      </c>
      <c r="P109" s="10" t="s">
        <v>199</v>
      </c>
      <c r="Q109" s="10" t="s">
        <v>62</v>
      </c>
      <c r="R109" s="10" t="s">
        <v>100</v>
      </c>
      <c r="S109" s="10" t="s">
        <v>90</v>
      </c>
      <c r="T109" s="10" t="s">
        <v>43</v>
      </c>
      <c r="U109" s="10">
        <v>5367</v>
      </c>
      <c r="V109" s="10" t="s">
        <v>83</v>
      </c>
      <c r="W109" s="11">
        <v>5314</v>
      </c>
      <c r="X109" s="10" t="s">
        <v>676</v>
      </c>
      <c r="Y109" s="12"/>
    </row>
    <row r="110" spans="1:25" x14ac:dyDescent="0.25">
      <c r="A110" s="3">
        <v>53</v>
      </c>
      <c r="B110" s="3" t="s">
        <v>25</v>
      </c>
      <c r="C110" s="4">
        <v>536700</v>
      </c>
      <c r="D110" s="5" t="s">
        <v>670</v>
      </c>
      <c r="E110" s="3">
        <v>5324</v>
      </c>
      <c r="F110" s="5" t="s">
        <v>671</v>
      </c>
      <c r="G110" s="3" t="s">
        <v>395</v>
      </c>
      <c r="H110" s="5" t="s">
        <v>677</v>
      </c>
      <c r="I110" s="5"/>
      <c r="J110" s="5" t="s">
        <v>678</v>
      </c>
      <c r="K110" s="5" t="s">
        <v>679</v>
      </c>
      <c r="L110" s="5" t="s">
        <v>59</v>
      </c>
      <c r="M110" s="5" t="s">
        <v>244</v>
      </c>
      <c r="N110" s="5" t="s">
        <v>409</v>
      </c>
      <c r="O110" s="5" t="s">
        <v>246</v>
      </c>
      <c r="P110" s="5" t="s">
        <v>680</v>
      </c>
      <c r="Q110" s="5" t="s">
        <v>99</v>
      </c>
      <c r="R110" s="5" t="s">
        <v>41</v>
      </c>
      <c r="S110" s="5" t="s">
        <v>90</v>
      </c>
      <c r="T110" s="5" t="s">
        <v>449</v>
      </c>
      <c r="U110" s="5">
        <v>5367</v>
      </c>
      <c r="V110" s="5" t="s">
        <v>83</v>
      </c>
      <c r="W110" s="6">
        <v>5314</v>
      </c>
      <c r="X110" s="5" t="s">
        <v>676</v>
      </c>
      <c r="Y110" s="7"/>
    </row>
    <row r="111" spans="1:25" x14ac:dyDescent="0.25">
      <c r="A111" s="8">
        <v>53</v>
      </c>
      <c r="B111" s="8" t="s">
        <v>25</v>
      </c>
      <c r="C111" s="9">
        <v>536700</v>
      </c>
      <c r="D111" s="10" t="s">
        <v>670</v>
      </c>
      <c r="E111" s="8">
        <v>5324</v>
      </c>
      <c r="F111" s="10" t="s">
        <v>671</v>
      </c>
      <c r="G111" s="8" t="s">
        <v>395</v>
      </c>
      <c r="H111" s="10" t="s">
        <v>681</v>
      </c>
      <c r="I111" s="10"/>
      <c r="J111" s="10" t="s">
        <v>682</v>
      </c>
      <c r="K111" s="10" t="s">
        <v>683</v>
      </c>
      <c r="L111" s="10" t="s">
        <v>59</v>
      </c>
      <c r="M111" s="10" t="s">
        <v>97</v>
      </c>
      <c r="N111" s="10" t="s">
        <v>97</v>
      </c>
      <c r="O111" s="10" t="s">
        <v>98</v>
      </c>
      <c r="P111" s="10" t="s">
        <v>39</v>
      </c>
      <c r="Q111" s="10" t="s">
        <v>647</v>
      </c>
      <c r="R111" s="10" t="s">
        <v>100</v>
      </c>
      <c r="S111" s="10" t="s">
        <v>137</v>
      </c>
      <c r="T111" s="10" t="s">
        <v>684</v>
      </c>
      <c r="U111" s="10">
        <v>5367</v>
      </c>
      <c r="V111" s="10" t="s">
        <v>83</v>
      </c>
      <c r="W111" s="11">
        <v>5314</v>
      </c>
      <c r="X111" s="10" t="s">
        <v>676</v>
      </c>
      <c r="Y111" s="12"/>
    </row>
    <row r="112" spans="1:25" x14ac:dyDescent="0.25">
      <c r="A112" s="3">
        <v>53</v>
      </c>
      <c r="B112" s="3" t="s">
        <v>25</v>
      </c>
      <c r="C112" s="4">
        <v>536700</v>
      </c>
      <c r="D112" s="5" t="s">
        <v>670</v>
      </c>
      <c r="E112" s="3">
        <v>5324</v>
      </c>
      <c r="F112" s="5" t="s">
        <v>671</v>
      </c>
      <c r="G112" s="3" t="s">
        <v>395</v>
      </c>
      <c r="H112" s="5" t="s">
        <v>685</v>
      </c>
      <c r="I112" s="5"/>
      <c r="J112" s="5" t="s">
        <v>686</v>
      </c>
      <c r="K112" s="5" t="s">
        <v>687</v>
      </c>
      <c r="L112" s="5" t="s">
        <v>35</v>
      </c>
      <c r="M112" s="5" t="s">
        <v>244</v>
      </c>
      <c r="N112" s="5" t="s">
        <v>409</v>
      </c>
      <c r="O112" s="5" t="s">
        <v>246</v>
      </c>
      <c r="P112" s="5" t="s">
        <v>39</v>
      </c>
      <c r="Q112" s="5" t="s">
        <v>99</v>
      </c>
      <c r="R112" s="5" t="s">
        <v>41</v>
      </c>
      <c r="S112" s="5" t="s">
        <v>90</v>
      </c>
      <c r="T112" s="5" t="s">
        <v>43</v>
      </c>
      <c r="U112" s="5">
        <v>5367</v>
      </c>
      <c r="V112" s="5" t="s">
        <v>83</v>
      </c>
      <c r="W112" s="6">
        <v>5314</v>
      </c>
      <c r="X112" s="5" t="s">
        <v>676</v>
      </c>
      <c r="Y112" s="7"/>
    </row>
    <row r="113" spans="1:25" x14ac:dyDescent="0.25">
      <c r="A113" s="8">
        <v>53</v>
      </c>
      <c r="B113" s="8" t="s">
        <v>25</v>
      </c>
      <c r="C113" s="9">
        <v>536700</v>
      </c>
      <c r="D113" s="10" t="s">
        <v>670</v>
      </c>
      <c r="E113" s="8">
        <v>5324</v>
      </c>
      <c r="F113" s="10" t="s">
        <v>671</v>
      </c>
      <c r="G113" s="8" t="s">
        <v>395</v>
      </c>
      <c r="H113" s="10" t="s">
        <v>688</v>
      </c>
      <c r="I113" s="10"/>
      <c r="J113" s="10" t="s">
        <v>686</v>
      </c>
      <c r="K113" s="10" t="s">
        <v>687</v>
      </c>
      <c r="L113" s="10" t="s">
        <v>35</v>
      </c>
      <c r="M113" s="10" t="s">
        <v>244</v>
      </c>
      <c r="N113" s="10" t="s">
        <v>409</v>
      </c>
      <c r="O113" s="10" t="s">
        <v>246</v>
      </c>
      <c r="P113" s="10" t="s">
        <v>39</v>
      </c>
      <c r="Q113" s="10" t="s">
        <v>99</v>
      </c>
      <c r="R113" s="10" t="s">
        <v>41</v>
      </c>
      <c r="S113" s="10" t="s">
        <v>90</v>
      </c>
      <c r="T113" s="10" t="s">
        <v>43</v>
      </c>
      <c r="U113" s="10">
        <v>5367</v>
      </c>
      <c r="V113" s="10" t="s">
        <v>83</v>
      </c>
      <c r="W113" s="11">
        <v>5314</v>
      </c>
      <c r="X113" s="10" t="s">
        <v>676</v>
      </c>
      <c r="Y113" s="12"/>
    </row>
    <row r="114" spans="1:25" x14ac:dyDescent="0.25">
      <c r="A114" s="3">
        <v>53</v>
      </c>
      <c r="B114" s="3" t="s">
        <v>25</v>
      </c>
      <c r="C114" s="4">
        <v>536890</v>
      </c>
      <c r="D114" s="5" t="s">
        <v>689</v>
      </c>
      <c r="E114" s="3">
        <v>5324</v>
      </c>
      <c r="F114" s="5" t="s">
        <v>671</v>
      </c>
      <c r="G114" s="3" t="s">
        <v>31</v>
      </c>
      <c r="H114" s="5" t="s">
        <v>690</v>
      </c>
      <c r="I114" s="5"/>
      <c r="J114" s="5" t="s">
        <v>691</v>
      </c>
      <c r="K114" s="5" t="s">
        <v>692</v>
      </c>
      <c r="L114" s="5" t="s">
        <v>78</v>
      </c>
      <c r="M114" s="5" t="s">
        <v>68</v>
      </c>
      <c r="N114" s="5" t="s">
        <v>79</v>
      </c>
      <c r="O114" s="5" t="s">
        <v>693</v>
      </c>
      <c r="P114" s="5" t="s">
        <v>199</v>
      </c>
      <c r="Q114" s="5" t="s">
        <v>81</v>
      </c>
      <c r="R114" s="5" t="s">
        <v>100</v>
      </c>
      <c r="S114" s="5" t="s">
        <v>694</v>
      </c>
      <c r="T114" s="5" t="s">
        <v>43</v>
      </c>
      <c r="U114" s="5">
        <v>5367</v>
      </c>
      <c r="V114" s="5" t="s">
        <v>83</v>
      </c>
      <c r="W114" s="6">
        <v>5314</v>
      </c>
      <c r="X114" s="5" t="s">
        <v>695</v>
      </c>
      <c r="Y114" s="7"/>
    </row>
    <row r="115" spans="1:25" x14ac:dyDescent="0.25">
      <c r="A115" s="8">
        <v>53</v>
      </c>
      <c r="B115" s="8" t="s">
        <v>25</v>
      </c>
      <c r="C115" s="9">
        <v>536920</v>
      </c>
      <c r="D115" s="10" t="s">
        <v>696</v>
      </c>
      <c r="E115" s="8">
        <v>5324</v>
      </c>
      <c r="F115" s="10" t="s">
        <v>671</v>
      </c>
      <c r="G115" s="8" t="s">
        <v>55</v>
      </c>
      <c r="H115" s="10" t="s">
        <v>697</v>
      </c>
      <c r="I115" s="10"/>
      <c r="J115" s="10" t="s">
        <v>698</v>
      </c>
      <c r="K115" s="10" t="s">
        <v>699</v>
      </c>
      <c r="L115" s="10" t="s">
        <v>35</v>
      </c>
      <c r="M115" s="10" t="s">
        <v>244</v>
      </c>
      <c r="N115" s="10" t="s">
        <v>409</v>
      </c>
      <c r="O115" s="10" t="s">
        <v>246</v>
      </c>
      <c r="P115" s="10" t="s">
        <v>199</v>
      </c>
      <c r="Q115" s="10" t="s">
        <v>99</v>
      </c>
      <c r="R115" s="10" t="s">
        <v>41</v>
      </c>
      <c r="S115" s="10" t="s">
        <v>700</v>
      </c>
      <c r="T115" s="10" t="s">
        <v>43</v>
      </c>
      <c r="U115" s="10">
        <v>5367</v>
      </c>
      <c r="V115" s="10" t="s">
        <v>83</v>
      </c>
      <c r="W115" s="11">
        <v>5314</v>
      </c>
      <c r="X115" s="10" t="s">
        <v>433</v>
      </c>
      <c r="Y115" s="12"/>
    </row>
    <row r="116" spans="1:25" x14ac:dyDescent="0.25">
      <c r="A116" s="3">
        <v>53</v>
      </c>
      <c r="B116" s="3" t="s">
        <v>25</v>
      </c>
      <c r="C116" s="4">
        <v>536879</v>
      </c>
      <c r="D116" s="5" t="s">
        <v>701</v>
      </c>
      <c r="E116" s="3">
        <v>5324</v>
      </c>
      <c r="F116" s="5" t="s">
        <v>671</v>
      </c>
      <c r="G116" s="3" t="s">
        <v>226</v>
      </c>
      <c r="H116" s="5" t="s">
        <v>702</v>
      </c>
      <c r="I116" s="5"/>
      <c r="J116" s="5" t="s">
        <v>703</v>
      </c>
      <c r="K116" s="5" t="s">
        <v>704</v>
      </c>
      <c r="L116" s="5" t="s">
        <v>35</v>
      </c>
      <c r="M116" s="5" t="s">
        <v>68</v>
      </c>
      <c r="N116" s="5" t="s">
        <v>69</v>
      </c>
      <c r="O116" s="5" t="s">
        <v>705</v>
      </c>
      <c r="P116" s="5" t="s">
        <v>61</v>
      </c>
      <c r="Q116" s="5" t="s">
        <v>40</v>
      </c>
      <c r="R116" s="5" t="s">
        <v>100</v>
      </c>
      <c r="S116" s="5" t="s">
        <v>52</v>
      </c>
      <c r="T116" s="5" t="s">
        <v>43</v>
      </c>
      <c r="U116" s="5">
        <v>5367</v>
      </c>
      <c r="V116" s="5" t="s">
        <v>83</v>
      </c>
      <c r="W116" s="6">
        <v>5314</v>
      </c>
      <c r="X116" s="5" t="s">
        <v>676</v>
      </c>
      <c r="Y116" s="7"/>
    </row>
    <row r="117" spans="1:25" x14ac:dyDescent="0.25">
      <c r="A117" s="8">
        <v>53</v>
      </c>
      <c r="B117" s="8" t="s">
        <v>25</v>
      </c>
      <c r="C117" s="9">
        <v>537150</v>
      </c>
      <c r="D117" s="10" t="s">
        <v>706</v>
      </c>
      <c r="E117" s="8">
        <v>5325</v>
      </c>
      <c r="F117" s="10" t="s">
        <v>707</v>
      </c>
      <c r="G117" s="8" t="s">
        <v>31</v>
      </c>
      <c r="H117" s="10" t="s">
        <v>708</v>
      </c>
      <c r="I117" s="10"/>
      <c r="J117" s="10" t="s">
        <v>709</v>
      </c>
      <c r="K117" s="10" t="s">
        <v>710</v>
      </c>
      <c r="L117" s="10" t="s">
        <v>59</v>
      </c>
      <c r="M117" s="10" t="s">
        <v>68</v>
      </c>
      <c r="N117" s="10" t="s">
        <v>69</v>
      </c>
      <c r="O117" s="10" t="s">
        <v>711</v>
      </c>
      <c r="P117" s="10" t="s">
        <v>712</v>
      </c>
      <c r="Q117" s="10" t="s">
        <v>40</v>
      </c>
      <c r="R117" s="10" t="s">
        <v>41</v>
      </c>
      <c r="S117" s="10" t="s">
        <v>137</v>
      </c>
      <c r="T117" s="10" t="s">
        <v>43</v>
      </c>
      <c r="U117" s="10">
        <v>5371</v>
      </c>
      <c r="V117" s="10" t="s">
        <v>713</v>
      </c>
      <c r="W117" s="11" t="s">
        <v>714</v>
      </c>
      <c r="X117" s="10" t="s">
        <v>715</v>
      </c>
      <c r="Y117" s="12"/>
    </row>
    <row r="118" spans="1:25" x14ac:dyDescent="0.25">
      <c r="A118" s="3">
        <v>53</v>
      </c>
      <c r="B118" s="3" t="s">
        <v>25</v>
      </c>
      <c r="C118" s="4">
        <v>537180</v>
      </c>
      <c r="D118" s="5" t="s">
        <v>716</v>
      </c>
      <c r="E118" s="3">
        <v>5325</v>
      </c>
      <c r="F118" s="5" t="s">
        <v>707</v>
      </c>
      <c r="G118" s="3" t="s">
        <v>31</v>
      </c>
      <c r="H118" s="5" t="s">
        <v>717</v>
      </c>
      <c r="I118" s="5"/>
      <c r="J118" s="5" t="s">
        <v>718</v>
      </c>
      <c r="K118" s="5" t="s">
        <v>719</v>
      </c>
      <c r="L118" s="5" t="s">
        <v>78</v>
      </c>
      <c r="M118" s="5" t="s">
        <v>36</v>
      </c>
      <c r="N118" s="5" t="s">
        <v>260</v>
      </c>
      <c r="O118" s="5" t="s">
        <v>38</v>
      </c>
      <c r="P118" s="5" t="s">
        <v>39</v>
      </c>
      <c r="Q118" s="5" t="s">
        <v>247</v>
      </c>
      <c r="R118" s="5" t="s">
        <v>100</v>
      </c>
      <c r="S118" s="5" t="s">
        <v>90</v>
      </c>
      <c r="T118" s="5" t="s">
        <v>43</v>
      </c>
      <c r="U118" s="5">
        <v>5371</v>
      </c>
      <c r="V118" s="5" t="s">
        <v>713</v>
      </c>
      <c r="W118" s="6" t="s">
        <v>714</v>
      </c>
      <c r="X118" s="5" t="s">
        <v>720</v>
      </c>
      <c r="Y118" s="7"/>
    </row>
    <row r="119" spans="1:25" x14ac:dyDescent="0.25">
      <c r="A119" s="8">
        <v>53</v>
      </c>
      <c r="B119" s="8" t="s">
        <v>25</v>
      </c>
      <c r="C119" s="9">
        <v>537181</v>
      </c>
      <c r="D119" s="10" t="s">
        <v>721</v>
      </c>
      <c r="E119" s="8">
        <v>5325</v>
      </c>
      <c r="F119" s="10" t="s">
        <v>707</v>
      </c>
      <c r="G119" s="8" t="s">
        <v>55</v>
      </c>
      <c r="H119" s="10" t="s">
        <v>722</v>
      </c>
      <c r="I119" s="10"/>
      <c r="J119" s="10" t="s">
        <v>723</v>
      </c>
      <c r="K119" s="10" t="s">
        <v>724</v>
      </c>
      <c r="L119" s="10" t="s">
        <v>59</v>
      </c>
      <c r="M119" s="10" t="s">
        <v>49</v>
      </c>
      <c r="N119" s="10" t="s">
        <v>50</v>
      </c>
      <c r="O119" s="10" t="s">
        <v>725</v>
      </c>
      <c r="P119" s="10" t="s">
        <v>61</v>
      </c>
      <c r="Q119" s="10" t="s">
        <v>62</v>
      </c>
      <c r="R119" s="10" t="s">
        <v>41</v>
      </c>
      <c r="S119" s="10" t="s">
        <v>52</v>
      </c>
      <c r="T119" s="10" t="s">
        <v>43</v>
      </c>
      <c r="U119" s="10">
        <v>5371</v>
      </c>
      <c r="V119" s="10" t="s">
        <v>713</v>
      </c>
      <c r="W119" s="11" t="s">
        <v>714</v>
      </c>
      <c r="X119" s="10" t="s">
        <v>726</v>
      </c>
      <c r="Y119" s="12"/>
    </row>
    <row r="120" spans="1:25" x14ac:dyDescent="0.25">
      <c r="A120" s="3">
        <v>53</v>
      </c>
      <c r="B120" s="3" t="s">
        <v>25</v>
      </c>
      <c r="C120" s="4">
        <v>537190</v>
      </c>
      <c r="D120" s="5" t="s">
        <v>727</v>
      </c>
      <c r="E120" s="3">
        <v>5325</v>
      </c>
      <c r="F120" s="5" t="s">
        <v>707</v>
      </c>
      <c r="G120" s="3" t="s">
        <v>55</v>
      </c>
      <c r="H120" s="5" t="s">
        <v>728</v>
      </c>
      <c r="I120" s="5"/>
      <c r="J120" s="5" t="s">
        <v>729</v>
      </c>
      <c r="K120" s="5" t="s">
        <v>730</v>
      </c>
      <c r="L120" s="5" t="s">
        <v>35</v>
      </c>
      <c r="M120" s="5" t="s">
        <v>161</v>
      </c>
      <c r="N120" s="5" t="s">
        <v>162</v>
      </c>
      <c r="O120" s="5" t="s">
        <v>98</v>
      </c>
      <c r="P120" s="5" t="s">
        <v>39</v>
      </c>
      <c r="Q120" s="5" t="s">
        <v>731</v>
      </c>
      <c r="R120" s="5" t="s">
        <v>732</v>
      </c>
      <c r="S120" s="5" t="s">
        <v>52</v>
      </c>
      <c r="T120" s="5" t="s">
        <v>43</v>
      </c>
      <c r="U120" s="5">
        <v>5371</v>
      </c>
      <c r="V120" s="5" t="s">
        <v>713</v>
      </c>
      <c r="W120" s="6" t="s">
        <v>714</v>
      </c>
      <c r="X120" s="5" t="s">
        <v>433</v>
      </c>
      <c r="Y120" s="7"/>
    </row>
    <row r="121" spans="1:25" x14ac:dyDescent="0.25">
      <c r="A121" s="8">
        <v>53</v>
      </c>
      <c r="B121" s="8" t="s">
        <v>25</v>
      </c>
      <c r="C121" s="9">
        <v>537230</v>
      </c>
      <c r="D121" s="10" t="s">
        <v>733</v>
      </c>
      <c r="E121" s="8">
        <v>5326</v>
      </c>
      <c r="F121" s="10" t="s">
        <v>734</v>
      </c>
      <c r="G121" s="8" t="s">
        <v>31</v>
      </c>
      <c r="H121" s="10" t="s">
        <v>735</v>
      </c>
      <c r="I121" s="10"/>
      <c r="J121" s="10" t="s">
        <v>736</v>
      </c>
      <c r="K121" s="10" t="s">
        <v>737</v>
      </c>
      <c r="L121" s="10" t="s">
        <v>59</v>
      </c>
      <c r="M121" s="10" t="s">
        <v>97</v>
      </c>
      <c r="N121" s="10" t="s">
        <v>97</v>
      </c>
      <c r="O121" s="10" t="s">
        <v>98</v>
      </c>
      <c r="P121" s="10" t="s">
        <v>712</v>
      </c>
      <c r="Q121" s="10" t="s">
        <v>99</v>
      </c>
      <c r="R121" s="10" t="s">
        <v>41</v>
      </c>
      <c r="S121" s="10" t="s">
        <v>738</v>
      </c>
      <c r="T121" s="10" t="s">
        <v>43</v>
      </c>
      <c r="U121" s="10">
        <v>5371</v>
      </c>
      <c r="V121" s="10" t="s">
        <v>713</v>
      </c>
      <c r="W121" s="11" t="s">
        <v>714</v>
      </c>
      <c r="X121" s="10" t="s">
        <v>739</v>
      </c>
      <c r="Y121" s="12"/>
    </row>
    <row r="122" spans="1:25" x14ac:dyDescent="0.25">
      <c r="A122" s="3">
        <v>53</v>
      </c>
      <c r="B122" s="3" t="s">
        <v>25</v>
      </c>
      <c r="C122" s="4">
        <v>537230</v>
      </c>
      <c r="D122" s="5" t="s">
        <v>733</v>
      </c>
      <c r="E122" s="3">
        <v>5326</v>
      </c>
      <c r="F122" s="5" t="s">
        <v>734</v>
      </c>
      <c r="G122" s="3" t="s">
        <v>31</v>
      </c>
      <c r="H122" s="5" t="s">
        <v>740</v>
      </c>
      <c r="I122" s="5"/>
      <c r="J122" s="5" t="s">
        <v>741</v>
      </c>
      <c r="K122" s="5" t="s">
        <v>742</v>
      </c>
      <c r="L122" s="5" t="s">
        <v>59</v>
      </c>
      <c r="M122" s="5" t="s">
        <v>125</v>
      </c>
      <c r="N122" s="5" t="s">
        <v>126</v>
      </c>
      <c r="O122" s="5" t="s">
        <v>743</v>
      </c>
      <c r="P122" s="5" t="s">
        <v>128</v>
      </c>
      <c r="Q122" s="5" t="s">
        <v>129</v>
      </c>
      <c r="R122" s="5" t="s">
        <v>41</v>
      </c>
      <c r="S122" s="5" t="s">
        <v>42</v>
      </c>
      <c r="T122" s="5" t="s">
        <v>43</v>
      </c>
      <c r="U122" s="5">
        <v>5371</v>
      </c>
      <c r="V122" s="5" t="s">
        <v>713</v>
      </c>
      <c r="W122" s="6" t="s">
        <v>714</v>
      </c>
      <c r="X122" s="5" t="s">
        <v>739</v>
      </c>
      <c r="Y122" s="7"/>
    </row>
    <row r="123" spans="1:25" x14ac:dyDescent="0.25">
      <c r="A123" s="8">
        <v>53</v>
      </c>
      <c r="B123" s="8" t="s">
        <v>25</v>
      </c>
      <c r="C123" s="9">
        <v>537231</v>
      </c>
      <c r="D123" s="10" t="s">
        <v>744</v>
      </c>
      <c r="E123" s="8">
        <v>5326</v>
      </c>
      <c r="F123" s="10" t="s">
        <v>734</v>
      </c>
      <c r="G123" s="8" t="s">
        <v>55</v>
      </c>
      <c r="H123" s="10" t="s">
        <v>745</v>
      </c>
      <c r="I123" s="10"/>
      <c r="J123" s="10" t="s">
        <v>746</v>
      </c>
      <c r="K123" s="10" t="s">
        <v>747</v>
      </c>
      <c r="L123" s="10" t="s">
        <v>78</v>
      </c>
      <c r="M123" s="10" t="s">
        <v>68</v>
      </c>
      <c r="N123" s="10" t="s">
        <v>69</v>
      </c>
      <c r="O123" s="10" t="s">
        <v>748</v>
      </c>
      <c r="P123" s="10" t="s">
        <v>712</v>
      </c>
      <c r="Q123" s="10" t="s">
        <v>40</v>
      </c>
      <c r="R123" s="10" t="s">
        <v>41</v>
      </c>
      <c r="S123" s="10" t="s">
        <v>137</v>
      </c>
      <c r="T123" s="10" t="s">
        <v>43</v>
      </c>
      <c r="U123" s="10">
        <v>5371</v>
      </c>
      <c r="V123" s="10" t="s">
        <v>713</v>
      </c>
      <c r="W123" s="11" t="s">
        <v>714</v>
      </c>
      <c r="X123" s="10" t="s">
        <v>749</v>
      </c>
      <c r="Y123" s="12"/>
    </row>
    <row r="124" spans="1:25" x14ac:dyDescent="0.25">
      <c r="A124" s="3">
        <v>53</v>
      </c>
      <c r="B124" s="3" t="s">
        <v>25</v>
      </c>
      <c r="C124" s="4">
        <v>537201</v>
      </c>
      <c r="D124" s="5" t="s">
        <v>750</v>
      </c>
      <c r="E124" s="3">
        <v>5327</v>
      </c>
      <c r="F124" s="5" t="s">
        <v>751</v>
      </c>
      <c r="G124" s="3" t="s">
        <v>55</v>
      </c>
      <c r="H124" s="5" t="s">
        <v>752</v>
      </c>
      <c r="I124" s="5"/>
      <c r="J124" s="5" t="s">
        <v>753</v>
      </c>
      <c r="K124" s="5" t="s">
        <v>754</v>
      </c>
      <c r="L124" s="5" t="s">
        <v>35</v>
      </c>
      <c r="M124" s="5" t="s">
        <v>755</v>
      </c>
      <c r="N124" s="5" t="s">
        <v>153</v>
      </c>
      <c r="O124" s="5" t="s">
        <v>756</v>
      </c>
      <c r="P124" s="5" t="s">
        <v>39</v>
      </c>
      <c r="Q124" s="5" t="s">
        <v>190</v>
      </c>
      <c r="R124" s="5" t="s">
        <v>732</v>
      </c>
      <c r="S124" s="5" t="s">
        <v>52</v>
      </c>
      <c r="T124" s="5" t="s">
        <v>43</v>
      </c>
      <c r="U124" s="5">
        <v>5371</v>
      </c>
      <c r="V124" s="5" t="s">
        <v>713</v>
      </c>
      <c r="W124" s="6" t="s">
        <v>714</v>
      </c>
      <c r="X124" s="5" t="s">
        <v>757</v>
      </c>
      <c r="Y124" s="7"/>
    </row>
    <row r="125" spans="1:25" x14ac:dyDescent="0.25">
      <c r="A125" s="8">
        <v>53</v>
      </c>
      <c r="B125" s="8" t="s">
        <v>25</v>
      </c>
      <c r="C125" s="9">
        <v>537201</v>
      </c>
      <c r="D125" s="10" t="s">
        <v>750</v>
      </c>
      <c r="E125" s="8">
        <v>5327</v>
      </c>
      <c r="F125" s="10" t="s">
        <v>751</v>
      </c>
      <c r="G125" s="8" t="s">
        <v>55</v>
      </c>
      <c r="H125" s="10" t="s">
        <v>758</v>
      </c>
      <c r="I125" s="10"/>
      <c r="J125" s="10" t="s">
        <v>753</v>
      </c>
      <c r="K125" s="10" t="s">
        <v>754</v>
      </c>
      <c r="L125" s="10" t="s">
        <v>35</v>
      </c>
      <c r="M125" s="10" t="s">
        <v>755</v>
      </c>
      <c r="N125" s="10" t="s">
        <v>153</v>
      </c>
      <c r="O125" s="10" t="s">
        <v>756</v>
      </c>
      <c r="P125" s="10" t="s">
        <v>39</v>
      </c>
      <c r="Q125" s="10" t="s">
        <v>190</v>
      </c>
      <c r="R125" s="10" t="s">
        <v>732</v>
      </c>
      <c r="S125" s="10" t="s">
        <v>52</v>
      </c>
      <c r="T125" s="10" t="s">
        <v>43</v>
      </c>
      <c r="U125" s="10">
        <v>5371</v>
      </c>
      <c r="V125" s="10" t="s">
        <v>713</v>
      </c>
      <c r="W125" s="11" t="s">
        <v>714</v>
      </c>
      <c r="X125" s="10" t="s">
        <v>757</v>
      </c>
      <c r="Y125" s="12"/>
    </row>
    <row r="126" spans="1:25" x14ac:dyDescent="0.25">
      <c r="A126" s="3">
        <v>53</v>
      </c>
      <c r="B126" s="3" t="s">
        <v>25</v>
      </c>
      <c r="C126" s="4">
        <v>537100</v>
      </c>
      <c r="D126" s="5" t="s">
        <v>759</v>
      </c>
      <c r="E126" s="3">
        <v>5328</v>
      </c>
      <c r="F126" s="5" t="s">
        <v>760</v>
      </c>
      <c r="G126" s="3" t="s">
        <v>395</v>
      </c>
      <c r="H126" s="5" t="s">
        <v>761</v>
      </c>
      <c r="I126" s="5"/>
      <c r="J126" s="5" t="s">
        <v>762</v>
      </c>
      <c r="K126" s="5" t="s">
        <v>763</v>
      </c>
      <c r="L126" s="5" t="s">
        <v>78</v>
      </c>
      <c r="M126" s="5" t="s">
        <v>755</v>
      </c>
      <c r="N126" s="5" t="s">
        <v>764</v>
      </c>
      <c r="O126" s="5" t="s">
        <v>765</v>
      </c>
      <c r="P126" s="5" t="s">
        <v>712</v>
      </c>
      <c r="Q126" s="5" t="s">
        <v>766</v>
      </c>
      <c r="R126" s="5" t="s">
        <v>41</v>
      </c>
      <c r="S126" s="5" t="s">
        <v>272</v>
      </c>
      <c r="T126" s="5" t="s">
        <v>767</v>
      </c>
      <c r="U126" s="5">
        <v>5371</v>
      </c>
      <c r="V126" s="5" t="s">
        <v>713</v>
      </c>
      <c r="W126" s="6" t="s">
        <v>180</v>
      </c>
      <c r="X126" s="5" t="s">
        <v>768</v>
      </c>
      <c r="Y126" s="7"/>
    </row>
    <row r="127" spans="1:25" x14ac:dyDescent="0.25">
      <c r="A127" s="8">
        <v>53</v>
      </c>
      <c r="B127" s="8" t="s">
        <v>25</v>
      </c>
      <c r="C127" s="9">
        <v>537120</v>
      </c>
      <c r="D127" s="10" t="s">
        <v>769</v>
      </c>
      <c r="E127" s="8">
        <v>5328</v>
      </c>
      <c r="F127" s="10" t="s">
        <v>760</v>
      </c>
      <c r="G127" s="8" t="s">
        <v>55</v>
      </c>
      <c r="H127" s="10" t="s">
        <v>770</v>
      </c>
      <c r="I127" s="10"/>
      <c r="J127" s="10" t="s">
        <v>771</v>
      </c>
      <c r="K127" s="10" t="s">
        <v>772</v>
      </c>
      <c r="L127" s="10" t="s">
        <v>78</v>
      </c>
      <c r="M127" s="10" t="s">
        <v>49</v>
      </c>
      <c r="N127" s="10" t="s">
        <v>50</v>
      </c>
      <c r="O127" s="10" t="s">
        <v>773</v>
      </c>
      <c r="P127" s="10" t="s">
        <v>61</v>
      </c>
      <c r="Q127" s="10" t="s">
        <v>62</v>
      </c>
      <c r="R127" s="10" t="s">
        <v>41</v>
      </c>
      <c r="S127" s="10" t="s">
        <v>52</v>
      </c>
      <c r="T127" s="10" t="s">
        <v>43</v>
      </c>
      <c r="U127" s="10">
        <v>5371</v>
      </c>
      <c r="V127" s="10" t="s">
        <v>713</v>
      </c>
      <c r="W127" s="11" t="s">
        <v>180</v>
      </c>
      <c r="X127" s="10" t="s">
        <v>774</v>
      </c>
      <c r="Y127" s="12"/>
    </row>
    <row r="128" spans="1:25" x14ac:dyDescent="0.25">
      <c r="A128" s="3">
        <v>53</v>
      </c>
      <c r="B128" s="3" t="s">
        <v>25</v>
      </c>
      <c r="C128" s="4">
        <v>537423</v>
      </c>
      <c r="D128" s="5" t="s">
        <v>775</v>
      </c>
      <c r="E128" s="3">
        <v>5328</v>
      </c>
      <c r="F128" s="5" t="s">
        <v>760</v>
      </c>
      <c r="G128" s="3" t="s">
        <v>226</v>
      </c>
      <c r="H128" s="5" t="s">
        <v>776</v>
      </c>
      <c r="I128" s="5"/>
      <c r="J128" s="5" t="s">
        <v>777</v>
      </c>
      <c r="K128" s="5" t="s">
        <v>778</v>
      </c>
      <c r="L128" s="5" t="s">
        <v>78</v>
      </c>
      <c r="M128" s="5" t="s">
        <v>779</v>
      </c>
      <c r="N128" s="5" t="s">
        <v>780</v>
      </c>
      <c r="O128" s="5" t="s">
        <v>232</v>
      </c>
      <c r="P128" s="5" t="s">
        <v>712</v>
      </c>
      <c r="Q128" s="5" t="s">
        <v>781</v>
      </c>
      <c r="R128" s="5" t="s">
        <v>239</v>
      </c>
      <c r="S128" s="5" t="s">
        <v>137</v>
      </c>
      <c r="T128" s="5" t="s">
        <v>782</v>
      </c>
      <c r="U128" s="5">
        <v>5371</v>
      </c>
      <c r="V128" s="5" t="s">
        <v>713</v>
      </c>
      <c r="W128" s="6" t="s">
        <v>180</v>
      </c>
      <c r="X128" s="5" t="s">
        <v>768</v>
      </c>
      <c r="Y128" s="7"/>
    </row>
    <row r="129" spans="1:25" x14ac:dyDescent="0.25">
      <c r="A129" s="8">
        <v>53</v>
      </c>
      <c r="B129" s="8" t="s">
        <v>25</v>
      </c>
      <c r="C129" s="9">
        <v>537360</v>
      </c>
      <c r="D129" s="10" t="s">
        <v>783</v>
      </c>
      <c r="E129" s="8">
        <v>5329</v>
      </c>
      <c r="F129" s="10" t="s">
        <v>784</v>
      </c>
      <c r="G129" s="8" t="s">
        <v>31</v>
      </c>
      <c r="H129" s="10" t="s">
        <v>785</v>
      </c>
      <c r="I129" s="10"/>
      <c r="J129" s="10" t="s">
        <v>786</v>
      </c>
      <c r="K129" s="10" t="s">
        <v>787</v>
      </c>
      <c r="L129" s="10" t="s">
        <v>78</v>
      </c>
      <c r="M129" s="10" t="s">
        <v>68</v>
      </c>
      <c r="N129" s="10" t="s">
        <v>69</v>
      </c>
      <c r="O129" s="10" t="s">
        <v>788</v>
      </c>
      <c r="P129" s="10" t="s">
        <v>61</v>
      </c>
      <c r="Q129" s="10" t="s">
        <v>40</v>
      </c>
      <c r="R129" s="10" t="s">
        <v>41</v>
      </c>
      <c r="S129" s="10" t="s">
        <v>137</v>
      </c>
      <c r="T129" s="10" t="s">
        <v>43</v>
      </c>
      <c r="U129" s="10">
        <v>5371</v>
      </c>
      <c r="V129" s="10" t="s">
        <v>713</v>
      </c>
      <c r="W129" s="11" t="s">
        <v>714</v>
      </c>
      <c r="X129" s="10" t="s">
        <v>789</v>
      </c>
      <c r="Y129" s="12"/>
    </row>
    <row r="130" spans="1:25" x14ac:dyDescent="0.25">
      <c r="A130" s="3">
        <v>53</v>
      </c>
      <c r="B130" s="3" t="s">
        <v>25</v>
      </c>
      <c r="C130" s="4">
        <v>537130</v>
      </c>
      <c r="D130" s="5" t="s">
        <v>790</v>
      </c>
      <c r="E130" s="3">
        <v>5329</v>
      </c>
      <c r="F130" s="5" t="s">
        <v>784</v>
      </c>
      <c r="G130" s="3" t="s">
        <v>31</v>
      </c>
      <c r="H130" s="5" t="s">
        <v>791</v>
      </c>
      <c r="I130" s="5"/>
      <c r="J130" s="5" t="s">
        <v>792</v>
      </c>
      <c r="K130" s="5" t="s">
        <v>793</v>
      </c>
      <c r="L130" s="5" t="s">
        <v>78</v>
      </c>
      <c r="M130" s="5" t="s">
        <v>68</v>
      </c>
      <c r="N130" s="5" t="s">
        <v>69</v>
      </c>
      <c r="O130" s="5" t="s">
        <v>794</v>
      </c>
      <c r="P130" s="5" t="s">
        <v>39</v>
      </c>
      <c r="Q130" s="5" t="s">
        <v>795</v>
      </c>
      <c r="R130" s="5" t="s">
        <v>41</v>
      </c>
      <c r="S130" s="5" t="s">
        <v>52</v>
      </c>
      <c r="T130" s="5" t="s">
        <v>43</v>
      </c>
      <c r="U130" s="5">
        <v>5371</v>
      </c>
      <c r="V130" s="5" t="s">
        <v>713</v>
      </c>
      <c r="W130" s="6" t="s">
        <v>714</v>
      </c>
      <c r="X130" s="5" t="s">
        <v>796</v>
      </c>
      <c r="Y130" s="7"/>
    </row>
    <row r="131" spans="1:25" x14ac:dyDescent="0.25">
      <c r="A131" s="8">
        <v>53</v>
      </c>
      <c r="B131" s="8" t="s">
        <v>25</v>
      </c>
      <c r="C131" s="9">
        <v>537340</v>
      </c>
      <c r="D131" s="10" t="s">
        <v>797</v>
      </c>
      <c r="E131" s="8">
        <v>5329</v>
      </c>
      <c r="F131" s="10" t="s">
        <v>784</v>
      </c>
      <c r="G131" s="8" t="s">
        <v>31</v>
      </c>
      <c r="H131" s="10" t="s">
        <v>798</v>
      </c>
      <c r="I131" s="10"/>
      <c r="J131" s="10" t="s">
        <v>799</v>
      </c>
      <c r="K131" s="10" t="s">
        <v>800</v>
      </c>
      <c r="L131" s="10" t="s">
        <v>59</v>
      </c>
      <c r="M131" s="10" t="s">
        <v>68</v>
      </c>
      <c r="N131" s="10" t="s">
        <v>69</v>
      </c>
      <c r="O131" s="10" t="s">
        <v>801</v>
      </c>
      <c r="P131" s="10" t="s">
        <v>712</v>
      </c>
      <c r="Q131" s="10" t="s">
        <v>40</v>
      </c>
      <c r="R131" s="10" t="s">
        <v>41</v>
      </c>
      <c r="S131" s="10" t="s">
        <v>137</v>
      </c>
      <c r="T131" s="10" t="s">
        <v>43</v>
      </c>
      <c r="U131" s="10">
        <v>5371</v>
      </c>
      <c r="V131" s="10" t="s">
        <v>713</v>
      </c>
      <c r="W131" s="11" t="s">
        <v>714</v>
      </c>
      <c r="X131" s="10" t="s">
        <v>802</v>
      </c>
      <c r="Y131" s="12"/>
    </row>
    <row r="132" spans="1:25" x14ac:dyDescent="0.25">
      <c r="A132" s="3">
        <v>53</v>
      </c>
      <c r="B132" s="3" t="s">
        <v>25</v>
      </c>
      <c r="C132" s="4">
        <v>536480</v>
      </c>
      <c r="D132" s="5" t="s">
        <v>803</v>
      </c>
      <c r="E132" s="3">
        <v>5331</v>
      </c>
      <c r="F132" s="5" t="s">
        <v>804</v>
      </c>
      <c r="G132" s="3" t="s">
        <v>55</v>
      </c>
      <c r="H132" s="5" t="s">
        <v>805</v>
      </c>
      <c r="I132" s="5"/>
      <c r="J132" s="5" t="s">
        <v>806</v>
      </c>
      <c r="K132" s="5" t="s">
        <v>807</v>
      </c>
      <c r="L132" s="5" t="s">
        <v>35</v>
      </c>
      <c r="M132" s="5" t="s">
        <v>153</v>
      </c>
      <c r="N132" s="5" t="s">
        <v>153</v>
      </c>
      <c r="O132" s="5" t="s">
        <v>756</v>
      </c>
      <c r="P132" s="5" t="s">
        <v>808</v>
      </c>
      <c r="Q132" s="5" t="s">
        <v>238</v>
      </c>
      <c r="R132" s="5" t="s">
        <v>385</v>
      </c>
      <c r="S132" s="5" t="s">
        <v>809</v>
      </c>
      <c r="T132" s="5" t="s">
        <v>43</v>
      </c>
      <c r="U132" s="5">
        <v>5364</v>
      </c>
      <c r="V132" s="5" t="s">
        <v>713</v>
      </c>
      <c r="W132" s="6" t="s">
        <v>714</v>
      </c>
      <c r="X132" s="5" t="s">
        <v>576</v>
      </c>
      <c r="Y132" s="7"/>
    </row>
    <row r="133" spans="1:25" x14ac:dyDescent="0.25">
      <c r="A133" s="8">
        <v>53</v>
      </c>
      <c r="B133" s="8" t="s">
        <v>25</v>
      </c>
      <c r="C133" s="9">
        <v>536520</v>
      </c>
      <c r="D133" s="10" t="s">
        <v>810</v>
      </c>
      <c r="E133" s="8">
        <v>5331</v>
      </c>
      <c r="F133" s="10" t="s">
        <v>804</v>
      </c>
      <c r="G133" s="8" t="s">
        <v>55</v>
      </c>
      <c r="H133" s="10" t="s">
        <v>811</v>
      </c>
      <c r="I133" s="10"/>
      <c r="J133" s="10" t="s">
        <v>812</v>
      </c>
      <c r="K133" s="10" t="s">
        <v>813</v>
      </c>
      <c r="L133" s="10" t="s">
        <v>78</v>
      </c>
      <c r="M133" s="10" t="s">
        <v>49</v>
      </c>
      <c r="N133" s="10" t="s">
        <v>50</v>
      </c>
      <c r="O133" s="10" t="s">
        <v>814</v>
      </c>
      <c r="P133" s="10" t="s">
        <v>808</v>
      </c>
      <c r="Q133" s="10" t="s">
        <v>62</v>
      </c>
      <c r="R133" s="10" t="s">
        <v>385</v>
      </c>
      <c r="S133" s="10" t="s">
        <v>52</v>
      </c>
      <c r="T133" s="10" t="s">
        <v>43</v>
      </c>
      <c r="U133" s="10">
        <v>5364</v>
      </c>
      <c r="V133" s="10" t="s">
        <v>713</v>
      </c>
      <c r="W133" s="11" t="s">
        <v>714</v>
      </c>
      <c r="X133" s="10" t="s">
        <v>815</v>
      </c>
      <c r="Y133" s="12"/>
    </row>
    <row r="134" spans="1:25" x14ac:dyDescent="0.25">
      <c r="A134" s="3">
        <v>53</v>
      </c>
      <c r="B134" s="3" t="s">
        <v>25</v>
      </c>
      <c r="C134" s="4">
        <v>536470</v>
      </c>
      <c r="D134" s="5" t="s">
        <v>816</v>
      </c>
      <c r="E134" s="3">
        <v>5331</v>
      </c>
      <c r="F134" s="5" t="s">
        <v>804</v>
      </c>
      <c r="G134" s="3" t="s">
        <v>55</v>
      </c>
      <c r="H134" s="5" t="s">
        <v>817</v>
      </c>
      <c r="I134" s="5"/>
      <c r="J134" s="5" t="s">
        <v>818</v>
      </c>
      <c r="K134" s="5" t="s">
        <v>819</v>
      </c>
      <c r="L134" s="5" t="s">
        <v>35</v>
      </c>
      <c r="M134" s="5" t="s">
        <v>68</v>
      </c>
      <c r="N134" s="5" t="s">
        <v>69</v>
      </c>
      <c r="O134" s="5" t="s">
        <v>820</v>
      </c>
      <c r="P134" s="5" t="s">
        <v>39</v>
      </c>
      <c r="Q134" s="5" t="s">
        <v>81</v>
      </c>
      <c r="R134" s="5" t="s">
        <v>41</v>
      </c>
      <c r="S134" s="5" t="s">
        <v>42</v>
      </c>
      <c r="T134" s="5" t="s">
        <v>43</v>
      </c>
      <c r="U134" s="5">
        <v>5364</v>
      </c>
      <c r="V134" s="5" t="s">
        <v>713</v>
      </c>
      <c r="W134" s="6" t="s">
        <v>714</v>
      </c>
      <c r="X134" s="5" t="s">
        <v>821</v>
      </c>
      <c r="Y134" s="7"/>
    </row>
    <row r="135" spans="1:25" x14ac:dyDescent="0.25">
      <c r="A135" s="8">
        <v>53</v>
      </c>
      <c r="B135" s="8" t="s">
        <v>25</v>
      </c>
      <c r="C135" s="9">
        <v>536450</v>
      </c>
      <c r="D135" s="10" t="s">
        <v>822</v>
      </c>
      <c r="E135" s="8">
        <v>5331</v>
      </c>
      <c r="F135" s="10" t="s">
        <v>804</v>
      </c>
      <c r="G135" s="8" t="s">
        <v>55</v>
      </c>
      <c r="H135" s="10" t="s">
        <v>823</v>
      </c>
      <c r="I135" s="10"/>
      <c r="J135" s="10" t="s">
        <v>824</v>
      </c>
      <c r="K135" s="10" t="s">
        <v>825</v>
      </c>
      <c r="L135" s="10" t="s">
        <v>78</v>
      </c>
      <c r="M135" s="10" t="s">
        <v>68</v>
      </c>
      <c r="N135" s="10" t="s">
        <v>69</v>
      </c>
      <c r="O135" s="10" t="s">
        <v>826</v>
      </c>
      <c r="P135" s="10" t="s">
        <v>128</v>
      </c>
      <c r="Q135" s="10" t="s">
        <v>81</v>
      </c>
      <c r="R135" s="10" t="s">
        <v>385</v>
      </c>
      <c r="S135" s="10" t="s">
        <v>52</v>
      </c>
      <c r="T135" s="10" t="s">
        <v>43</v>
      </c>
      <c r="U135" s="10">
        <v>5364</v>
      </c>
      <c r="V135" s="10" t="s">
        <v>713</v>
      </c>
      <c r="W135" s="11" t="s">
        <v>714</v>
      </c>
      <c r="X135" s="10" t="s">
        <v>827</v>
      </c>
      <c r="Y135" s="12"/>
    </row>
    <row r="136" spans="1:25" x14ac:dyDescent="0.25">
      <c r="A136" s="3">
        <v>53</v>
      </c>
      <c r="B136" s="3" t="s">
        <v>25</v>
      </c>
      <c r="C136" s="4">
        <v>536540</v>
      </c>
      <c r="D136" s="5" t="s">
        <v>828</v>
      </c>
      <c r="E136" s="3">
        <v>5331</v>
      </c>
      <c r="F136" s="5" t="s">
        <v>804</v>
      </c>
      <c r="G136" s="3" t="s">
        <v>55</v>
      </c>
      <c r="H136" s="5" t="s">
        <v>829</v>
      </c>
      <c r="I136" s="5"/>
      <c r="J136" s="5" t="s">
        <v>830</v>
      </c>
      <c r="K136" s="5" t="s">
        <v>831</v>
      </c>
      <c r="L136" s="5" t="s">
        <v>35</v>
      </c>
      <c r="M136" s="5" t="s">
        <v>49</v>
      </c>
      <c r="N136" s="5" t="s">
        <v>50</v>
      </c>
      <c r="O136" s="5" t="s">
        <v>832</v>
      </c>
      <c r="P136" s="5" t="s">
        <v>39</v>
      </c>
      <c r="Q136" s="5" t="s">
        <v>62</v>
      </c>
      <c r="R136" s="5" t="s">
        <v>41</v>
      </c>
      <c r="S136" s="5" t="s">
        <v>42</v>
      </c>
      <c r="T136" s="5" t="s">
        <v>43</v>
      </c>
      <c r="U136" s="5">
        <v>5364</v>
      </c>
      <c r="V136" s="5" t="s">
        <v>713</v>
      </c>
      <c r="W136" s="6" t="s">
        <v>714</v>
      </c>
      <c r="X136" s="5" t="s">
        <v>833</v>
      </c>
      <c r="Y136" s="7"/>
    </row>
    <row r="137" spans="1:25" x14ac:dyDescent="0.25">
      <c r="A137" s="8">
        <v>53</v>
      </c>
      <c r="B137" s="8" t="s">
        <v>25</v>
      </c>
      <c r="C137" s="9">
        <v>536408</v>
      </c>
      <c r="D137" s="10" t="s">
        <v>834</v>
      </c>
      <c r="E137" s="8">
        <v>5331</v>
      </c>
      <c r="F137" s="10" t="s">
        <v>804</v>
      </c>
      <c r="G137" s="8" t="s">
        <v>226</v>
      </c>
      <c r="H137" s="10" t="s">
        <v>835</v>
      </c>
      <c r="I137" s="10"/>
      <c r="J137" s="10" t="s">
        <v>836</v>
      </c>
      <c r="K137" s="10" t="s">
        <v>837</v>
      </c>
      <c r="L137" s="10" t="s">
        <v>78</v>
      </c>
      <c r="M137" s="10" t="s">
        <v>68</v>
      </c>
      <c r="N137" s="10" t="s">
        <v>838</v>
      </c>
      <c r="O137" s="10" t="s">
        <v>839</v>
      </c>
      <c r="P137" s="10" t="s">
        <v>199</v>
      </c>
      <c r="Q137" s="10" t="s">
        <v>840</v>
      </c>
      <c r="R137" s="10" t="s">
        <v>41</v>
      </c>
      <c r="S137" s="10" t="s">
        <v>90</v>
      </c>
      <c r="T137" s="10" t="s">
        <v>841</v>
      </c>
      <c r="U137" s="10">
        <v>5364</v>
      </c>
      <c r="V137" s="10" t="s">
        <v>713</v>
      </c>
      <c r="W137" s="11" t="s">
        <v>714</v>
      </c>
      <c r="X137" s="10" t="s">
        <v>842</v>
      </c>
      <c r="Y137" s="12"/>
    </row>
    <row r="138" spans="1:25" x14ac:dyDescent="0.25">
      <c r="A138" s="3">
        <v>53</v>
      </c>
      <c r="B138" s="3" t="s">
        <v>25</v>
      </c>
      <c r="C138" s="4">
        <v>536400</v>
      </c>
      <c r="D138" s="5" t="s">
        <v>843</v>
      </c>
      <c r="E138" s="3">
        <v>5332</v>
      </c>
      <c r="F138" s="5" t="s">
        <v>844</v>
      </c>
      <c r="G138" s="3" t="s">
        <v>395</v>
      </c>
      <c r="H138" s="5" t="s">
        <v>845</v>
      </c>
      <c r="I138" s="5"/>
      <c r="J138" s="5" t="s">
        <v>846</v>
      </c>
      <c r="K138" s="5" t="s">
        <v>847</v>
      </c>
      <c r="L138" s="5" t="s">
        <v>35</v>
      </c>
      <c r="M138" s="5" t="s">
        <v>755</v>
      </c>
      <c r="N138" s="5" t="s">
        <v>764</v>
      </c>
      <c r="O138" s="5" t="s">
        <v>848</v>
      </c>
      <c r="P138" s="5" t="s">
        <v>128</v>
      </c>
      <c r="Q138" s="5" t="s">
        <v>849</v>
      </c>
      <c r="R138" s="5" t="s">
        <v>385</v>
      </c>
      <c r="S138" s="5" t="s">
        <v>52</v>
      </c>
      <c r="T138" s="5" t="s">
        <v>850</v>
      </c>
      <c r="U138" s="5">
        <v>5364</v>
      </c>
      <c r="V138" s="5" t="s">
        <v>713</v>
      </c>
      <c r="W138" s="6" t="s">
        <v>714</v>
      </c>
      <c r="X138" s="5" t="s">
        <v>851</v>
      </c>
      <c r="Y138" s="7"/>
    </row>
    <row r="139" spans="1:25" x14ac:dyDescent="0.25">
      <c r="A139" s="8">
        <v>53</v>
      </c>
      <c r="B139" s="8" t="s">
        <v>25</v>
      </c>
      <c r="C139" s="9">
        <v>536400</v>
      </c>
      <c r="D139" s="10" t="s">
        <v>843</v>
      </c>
      <c r="E139" s="8">
        <v>5332</v>
      </c>
      <c r="F139" s="10" t="s">
        <v>844</v>
      </c>
      <c r="G139" s="8" t="s">
        <v>395</v>
      </c>
      <c r="H139" s="10" t="s">
        <v>852</v>
      </c>
      <c r="I139" s="10"/>
      <c r="J139" s="10" t="s">
        <v>853</v>
      </c>
      <c r="K139" s="10" t="s">
        <v>854</v>
      </c>
      <c r="L139" s="10" t="s">
        <v>35</v>
      </c>
      <c r="M139" s="10" t="s">
        <v>125</v>
      </c>
      <c r="N139" s="10" t="s">
        <v>126</v>
      </c>
      <c r="O139" s="10" t="s">
        <v>855</v>
      </c>
      <c r="P139" s="10" t="s">
        <v>199</v>
      </c>
      <c r="Q139" s="10" t="s">
        <v>129</v>
      </c>
      <c r="R139" s="10" t="s">
        <v>41</v>
      </c>
      <c r="S139" s="10" t="s">
        <v>42</v>
      </c>
      <c r="T139" s="10" t="s">
        <v>43</v>
      </c>
      <c r="U139" s="10">
        <v>5364</v>
      </c>
      <c r="V139" s="10" t="s">
        <v>713</v>
      </c>
      <c r="W139" s="11" t="s">
        <v>714</v>
      </c>
      <c r="X139" s="10" t="s">
        <v>851</v>
      </c>
      <c r="Y139" s="12"/>
    </row>
    <row r="140" spans="1:25" x14ac:dyDescent="0.25">
      <c r="A140" s="3">
        <v>53</v>
      </c>
      <c r="B140" s="3" t="s">
        <v>25</v>
      </c>
      <c r="C140" s="4">
        <v>536400</v>
      </c>
      <c r="D140" s="5" t="s">
        <v>843</v>
      </c>
      <c r="E140" s="3">
        <v>5332</v>
      </c>
      <c r="F140" s="5" t="s">
        <v>844</v>
      </c>
      <c r="G140" s="3" t="s">
        <v>395</v>
      </c>
      <c r="H140" s="5" t="s">
        <v>856</v>
      </c>
      <c r="I140" s="5"/>
      <c r="J140" s="5" t="s">
        <v>857</v>
      </c>
      <c r="K140" s="5" t="s">
        <v>858</v>
      </c>
      <c r="L140" s="5" t="s">
        <v>35</v>
      </c>
      <c r="M140" s="5" t="s">
        <v>68</v>
      </c>
      <c r="N140" s="5" t="s">
        <v>69</v>
      </c>
      <c r="O140" s="5" t="s">
        <v>859</v>
      </c>
      <c r="P140" s="5" t="s">
        <v>128</v>
      </c>
      <c r="Q140" s="5" t="s">
        <v>40</v>
      </c>
      <c r="R140" s="5" t="s">
        <v>41</v>
      </c>
      <c r="S140" s="5" t="s">
        <v>52</v>
      </c>
      <c r="T140" s="5" t="s">
        <v>860</v>
      </c>
      <c r="U140" s="5">
        <v>5364</v>
      </c>
      <c r="V140" s="5" t="s">
        <v>713</v>
      </c>
      <c r="W140" s="6" t="s">
        <v>714</v>
      </c>
      <c r="X140" s="5" t="s">
        <v>851</v>
      </c>
      <c r="Y140" s="7"/>
    </row>
    <row r="141" spans="1:25" x14ac:dyDescent="0.25">
      <c r="A141" s="8">
        <v>53</v>
      </c>
      <c r="B141" s="8" t="s">
        <v>25</v>
      </c>
      <c r="C141" s="9">
        <v>536570</v>
      </c>
      <c r="D141" s="10" t="s">
        <v>861</v>
      </c>
      <c r="E141" s="8">
        <v>5332</v>
      </c>
      <c r="F141" s="10" t="s">
        <v>844</v>
      </c>
      <c r="G141" s="8" t="s">
        <v>55</v>
      </c>
      <c r="H141" s="10" t="s">
        <v>862</v>
      </c>
      <c r="I141" s="10"/>
      <c r="J141" s="10" t="s">
        <v>863</v>
      </c>
      <c r="K141" s="10" t="s">
        <v>864</v>
      </c>
      <c r="L141" s="10" t="s">
        <v>35</v>
      </c>
      <c r="M141" s="10" t="s">
        <v>68</v>
      </c>
      <c r="N141" s="10" t="s">
        <v>69</v>
      </c>
      <c r="O141" s="10" t="s">
        <v>865</v>
      </c>
      <c r="P141" s="10" t="s">
        <v>808</v>
      </c>
      <c r="Q141" s="10" t="s">
        <v>81</v>
      </c>
      <c r="R141" s="10" t="s">
        <v>385</v>
      </c>
      <c r="S141" s="10" t="s">
        <v>52</v>
      </c>
      <c r="T141" s="10" t="s">
        <v>43</v>
      </c>
      <c r="U141" s="10">
        <v>5364</v>
      </c>
      <c r="V141" s="10" t="s">
        <v>713</v>
      </c>
      <c r="W141" s="11" t="s">
        <v>714</v>
      </c>
      <c r="X141" s="10" t="s">
        <v>583</v>
      </c>
      <c r="Y141" s="12"/>
    </row>
    <row r="142" spans="1:25" x14ac:dyDescent="0.25">
      <c r="A142" s="3">
        <v>53</v>
      </c>
      <c r="B142" s="3" t="s">
        <v>25</v>
      </c>
      <c r="C142" s="4">
        <v>536420</v>
      </c>
      <c r="D142" s="5" t="s">
        <v>866</v>
      </c>
      <c r="E142" s="3">
        <v>5332</v>
      </c>
      <c r="F142" s="5" t="s">
        <v>844</v>
      </c>
      <c r="G142" s="3" t="s">
        <v>55</v>
      </c>
      <c r="H142" s="5" t="s">
        <v>867</v>
      </c>
      <c r="I142" s="5"/>
      <c r="J142" s="5" t="s">
        <v>868</v>
      </c>
      <c r="K142" s="5" t="s">
        <v>34</v>
      </c>
      <c r="L142" s="5" t="s">
        <v>59</v>
      </c>
      <c r="M142" s="5" t="s">
        <v>244</v>
      </c>
      <c r="N142" s="5" t="s">
        <v>869</v>
      </c>
      <c r="O142" s="5" t="s">
        <v>232</v>
      </c>
      <c r="P142" s="5" t="s">
        <v>39</v>
      </c>
      <c r="Q142" s="5" t="s">
        <v>380</v>
      </c>
      <c r="R142" s="5" t="s">
        <v>385</v>
      </c>
      <c r="S142" s="5" t="s">
        <v>82</v>
      </c>
      <c r="T142" s="5" t="s">
        <v>43</v>
      </c>
      <c r="U142" s="5">
        <v>5364</v>
      </c>
      <c r="V142" s="5" t="s">
        <v>713</v>
      </c>
      <c r="W142" s="6" t="s">
        <v>714</v>
      </c>
      <c r="X142" s="5" t="s">
        <v>870</v>
      </c>
      <c r="Y142" s="7"/>
    </row>
    <row r="143" spans="1:25" x14ac:dyDescent="0.25">
      <c r="A143" s="8">
        <v>53</v>
      </c>
      <c r="B143" s="8" t="s">
        <v>25</v>
      </c>
      <c r="C143" s="9">
        <v>535390</v>
      </c>
      <c r="D143" s="10" t="s">
        <v>871</v>
      </c>
      <c r="E143" s="8">
        <v>5333</v>
      </c>
      <c r="F143" s="10" t="s">
        <v>872</v>
      </c>
      <c r="G143" s="8" t="s">
        <v>31</v>
      </c>
      <c r="H143" s="10" t="s">
        <v>873</v>
      </c>
      <c r="I143" s="10"/>
      <c r="J143" s="10" t="s">
        <v>874</v>
      </c>
      <c r="K143" s="10" t="s">
        <v>875</v>
      </c>
      <c r="L143" s="10" t="s">
        <v>59</v>
      </c>
      <c r="M143" s="10" t="s">
        <v>161</v>
      </c>
      <c r="N143" s="10" t="s">
        <v>162</v>
      </c>
      <c r="O143" s="10" t="s">
        <v>98</v>
      </c>
      <c r="P143" s="10" t="s">
        <v>39</v>
      </c>
      <c r="Q143" s="10" t="s">
        <v>99</v>
      </c>
      <c r="R143" s="10" t="s">
        <v>41</v>
      </c>
      <c r="S143" s="10" t="s">
        <v>90</v>
      </c>
      <c r="T143" s="10" t="s">
        <v>43</v>
      </c>
      <c r="U143" s="10">
        <v>5353</v>
      </c>
      <c r="V143" s="10" t="s">
        <v>118</v>
      </c>
      <c r="W143" s="11" t="s">
        <v>565</v>
      </c>
      <c r="X143" s="10" t="s">
        <v>876</v>
      </c>
      <c r="Y143" s="12"/>
    </row>
    <row r="144" spans="1:25" x14ac:dyDescent="0.25">
      <c r="A144" s="3">
        <v>53</v>
      </c>
      <c r="B144" s="3" t="s">
        <v>25</v>
      </c>
      <c r="C144" s="4">
        <v>535490</v>
      </c>
      <c r="D144" s="5" t="s">
        <v>877</v>
      </c>
      <c r="E144" s="3">
        <v>5333</v>
      </c>
      <c r="F144" s="5" t="s">
        <v>872</v>
      </c>
      <c r="G144" s="3" t="s">
        <v>55</v>
      </c>
      <c r="H144" s="5" t="s">
        <v>878</v>
      </c>
      <c r="I144" s="5"/>
      <c r="J144" s="5" t="s">
        <v>879</v>
      </c>
      <c r="K144" s="5" t="s">
        <v>34</v>
      </c>
      <c r="L144" s="5" t="s">
        <v>78</v>
      </c>
      <c r="M144" s="5" t="s">
        <v>161</v>
      </c>
      <c r="N144" s="5" t="s">
        <v>162</v>
      </c>
      <c r="O144" s="5" t="s">
        <v>98</v>
      </c>
      <c r="P144" s="5" t="s">
        <v>39</v>
      </c>
      <c r="Q144" s="5" t="s">
        <v>99</v>
      </c>
      <c r="R144" s="5" t="s">
        <v>100</v>
      </c>
      <c r="S144" s="5" t="s">
        <v>137</v>
      </c>
      <c r="T144" s="5" t="s">
        <v>43</v>
      </c>
      <c r="U144" s="5">
        <v>5353</v>
      </c>
      <c r="V144" s="5" t="s">
        <v>118</v>
      </c>
      <c r="W144" s="6" t="s">
        <v>565</v>
      </c>
      <c r="X144" s="5" t="s">
        <v>880</v>
      </c>
      <c r="Y144" s="7"/>
    </row>
    <row r="145" spans="1:25" x14ac:dyDescent="0.25">
      <c r="A145" s="8">
        <v>53</v>
      </c>
      <c r="B145" s="8" t="s">
        <v>25</v>
      </c>
      <c r="C145" s="9">
        <v>535460</v>
      </c>
      <c r="D145" s="10" t="s">
        <v>881</v>
      </c>
      <c r="E145" s="8">
        <v>5333</v>
      </c>
      <c r="F145" s="10" t="s">
        <v>872</v>
      </c>
      <c r="G145" s="8" t="s">
        <v>55</v>
      </c>
      <c r="H145" s="10" t="s">
        <v>882</v>
      </c>
      <c r="I145" s="10"/>
      <c r="J145" s="10" t="s">
        <v>883</v>
      </c>
      <c r="K145" s="10" t="s">
        <v>34</v>
      </c>
      <c r="L145" s="10" t="s">
        <v>78</v>
      </c>
      <c r="M145" s="10" t="s">
        <v>97</v>
      </c>
      <c r="N145" s="10" t="s">
        <v>97</v>
      </c>
      <c r="O145" s="10" t="s">
        <v>98</v>
      </c>
      <c r="P145" s="10" t="s">
        <v>71</v>
      </c>
      <c r="Q145" s="10" t="s">
        <v>40</v>
      </c>
      <c r="R145" s="10" t="s">
        <v>41</v>
      </c>
      <c r="S145" s="10" t="s">
        <v>137</v>
      </c>
      <c r="T145" s="10" t="s">
        <v>43</v>
      </c>
      <c r="U145" s="10">
        <v>5353</v>
      </c>
      <c r="V145" s="10" t="s">
        <v>118</v>
      </c>
      <c r="W145" s="11" t="s">
        <v>565</v>
      </c>
      <c r="X145" s="10" t="s">
        <v>884</v>
      </c>
      <c r="Y145" s="12"/>
    </row>
    <row r="146" spans="1:25" x14ac:dyDescent="0.25">
      <c r="A146" s="3">
        <v>53</v>
      </c>
      <c r="B146" s="3" t="s">
        <v>25</v>
      </c>
      <c r="C146" s="4">
        <v>535740</v>
      </c>
      <c r="D146" s="5" t="s">
        <v>885</v>
      </c>
      <c r="E146" s="3">
        <v>5335</v>
      </c>
      <c r="F146" s="5" t="s">
        <v>886</v>
      </c>
      <c r="G146" s="3" t="s">
        <v>55</v>
      </c>
      <c r="H146" s="5" t="s">
        <v>887</v>
      </c>
      <c r="I146" s="5"/>
      <c r="J146" s="5" t="s">
        <v>888</v>
      </c>
      <c r="K146" s="5" t="s">
        <v>889</v>
      </c>
      <c r="L146" s="5" t="s">
        <v>78</v>
      </c>
      <c r="M146" s="5" t="s">
        <v>68</v>
      </c>
      <c r="N146" s="5" t="s">
        <v>69</v>
      </c>
      <c r="O146" s="5" t="s">
        <v>890</v>
      </c>
      <c r="P146" s="5" t="s">
        <v>128</v>
      </c>
      <c r="Q146" s="5" t="s">
        <v>40</v>
      </c>
      <c r="R146" s="5" t="s">
        <v>41</v>
      </c>
      <c r="S146" s="5" t="s">
        <v>52</v>
      </c>
      <c r="T146" s="5" t="s">
        <v>43</v>
      </c>
      <c r="U146" s="5">
        <v>5357</v>
      </c>
      <c r="V146" s="5" t="s">
        <v>891</v>
      </c>
      <c r="W146" s="6" t="s">
        <v>180</v>
      </c>
      <c r="X146" s="5" t="s">
        <v>892</v>
      </c>
      <c r="Y146" s="7"/>
    </row>
    <row r="147" spans="1:25" x14ac:dyDescent="0.25">
      <c r="A147" s="8">
        <v>53</v>
      </c>
      <c r="B147" s="8" t="s">
        <v>25</v>
      </c>
      <c r="C147" s="9">
        <v>535700</v>
      </c>
      <c r="D147" s="10" t="s">
        <v>893</v>
      </c>
      <c r="E147" s="8">
        <v>5335</v>
      </c>
      <c r="F147" s="10" t="s">
        <v>886</v>
      </c>
      <c r="G147" s="8" t="s">
        <v>395</v>
      </c>
      <c r="H147" s="10" t="s">
        <v>894</v>
      </c>
      <c r="I147" s="10"/>
      <c r="J147" s="10" t="s">
        <v>895</v>
      </c>
      <c r="K147" s="10" t="s">
        <v>896</v>
      </c>
      <c r="L147" s="10" t="s">
        <v>78</v>
      </c>
      <c r="M147" s="10" t="s">
        <v>68</v>
      </c>
      <c r="N147" s="10" t="s">
        <v>69</v>
      </c>
      <c r="O147" s="10" t="s">
        <v>897</v>
      </c>
      <c r="P147" s="10" t="s">
        <v>199</v>
      </c>
      <c r="Q147" s="10" t="s">
        <v>40</v>
      </c>
      <c r="R147" s="10" t="s">
        <v>100</v>
      </c>
      <c r="S147" s="10" t="s">
        <v>90</v>
      </c>
      <c r="T147" s="10" t="s">
        <v>898</v>
      </c>
      <c r="U147" s="10">
        <v>5357</v>
      </c>
      <c r="V147" s="10" t="s">
        <v>891</v>
      </c>
      <c r="W147" s="11" t="s">
        <v>180</v>
      </c>
      <c r="X147" s="10" t="s">
        <v>899</v>
      </c>
      <c r="Y147" s="12"/>
    </row>
    <row r="148" spans="1:25" x14ac:dyDescent="0.25">
      <c r="A148" s="3">
        <v>53</v>
      </c>
      <c r="B148" s="3" t="s">
        <v>25</v>
      </c>
      <c r="C148" s="4">
        <v>535700</v>
      </c>
      <c r="D148" s="5" t="s">
        <v>893</v>
      </c>
      <c r="E148" s="3">
        <v>5335</v>
      </c>
      <c r="F148" s="5" t="s">
        <v>886</v>
      </c>
      <c r="G148" s="3" t="s">
        <v>395</v>
      </c>
      <c r="H148" s="5" t="s">
        <v>900</v>
      </c>
      <c r="I148" s="5"/>
      <c r="J148" s="5" t="s">
        <v>901</v>
      </c>
      <c r="K148" s="5" t="s">
        <v>902</v>
      </c>
      <c r="L148" s="5" t="s">
        <v>78</v>
      </c>
      <c r="M148" s="5" t="s">
        <v>161</v>
      </c>
      <c r="N148" s="5" t="s">
        <v>162</v>
      </c>
      <c r="O148" s="5" t="s">
        <v>98</v>
      </c>
      <c r="P148" s="5" t="s">
        <v>39</v>
      </c>
      <c r="Q148" s="5" t="s">
        <v>99</v>
      </c>
      <c r="R148" s="5" t="s">
        <v>41</v>
      </c>
      <c r="S148" s="5" t="s">
        <v>52</v>
      </c>
      <c r="T148" s="5" t="s">
        <v>903</v>
      </c>
      <c r="U148" s="5">
        <v>5357</v>
      </c>
      <c r="V148" s="5" t="s">
        <v>891</v>
      </c>
      <c r="W148" s="6" t="s">
        <v>180</v>
      </c>
      <c r="X148" s="5" t="s">
        <v>899</v>
      </c>
      <c r="Y148" s="7"/>
    </row>
    <row r="149" spans="1:25" x14ac:dyDescent="0.25">
      <c r="A149" s="8">
        <v>53</v>
      </c>
      <c r="B149" s="8" t="s">
        <v>25</v>
      </c>
      <c r="C149" s="9">
        <v>535712</v>
      </c>
      <c r="D149" s="10" t="s">
        <v>904</v>
      </c>
      <c r="E149" s="8">
        <v>5335</v>
      </c>
      <c r="F149" s="10" t="s">
        <v>886</v>
      </c>
      <c r="G149" s="8" t="s">
        <v>226</v>
      </c>
      <c r="H149" s="10" t="s">
        <v>905</v>
      </c>
      <c r="I149" s="10"/>
      <c r="J149" s="10" t="s">
        <v>906</v>
      </c>
      <c r="K149" s="10" t="s">
        <v>907</v>
      </c>
      <c r="L149" s="10" t="s">
        <v>35</v>
      </c>
      <c r="M149" s="10" t="s">
        <v>68</v>
      </c>
      <c r="N149" s="10" t="s">
        <v>69</v>
      </c>
      <c r="O149" s="10" t="s">
        <v>908</v>
      </c>
      <c r="P149" s="10" t="s">
        <v>128</v>
      </c>
      <c r="Q149" s="10" t="s">
        <v>40</v>
      </c>
      <c r="R149" s="10" t="s">
        <v>41</v>
      </c>
      <c r="S149" s="10" t="s">
        <v>909</v>
      </c>
      <c r="T149" s="10" t="s">
        <v>43</v>
      </c>
      <c r="U149" s="10">
        <v>5357</v>
      </c>
      <c r="V149" s="10" t="s">
        <v>891</v>
      </c>
      <c r="W149" s="11" t="s">
        <v>180</v>
      </c>
      <c r="X149" s="10" t="s">
        <v>899</v>
      </c>
      <c r="Y149" s="12"/>
    </row>
    <row r="150" spans="1:25" x14ac:dyDescent="0.25">
      <c r="A150" s="3">
        <v>53</v>
      </c>
      <c r="B150" s="3" t="s">
        <v>25</v>
      </c>
      <c r="C150" s="4">
        <v>535712</v>
      </c>
      <c r="D150" s="5" t="s">
        <v>904</v>
      </c>
      <c r="E150" s="3">
        <v>5335</v>
      </c>
      <c r="F150" s="5" t="s">
        <v>886</v>
      </c>
      <c r="G150" s="3" t="s">
        <v>226</v>
      </c>
      <c r="H150" s="5" t="s">
        <v>910</v>
      </c>
      <c r="I150" s="5"/>
      <c r="J150" s="5" t="s">
        <v>911</v>
      </c>
      <c r="K150" s="5" t="s">
        <v>912</v>
      </c>
      <c r="L150" s="5" t="s">
        <v>35</v>
      </c>
      <c r="M150" s="5" t="s">
        <v>49</v>
      </c>
      <c r="N150" s="5" t="s">
        <v>50</v>
      </c>
      <c r="O150" s="5" t="s">
        <v>913</v>
      </c>
      <c r="P150" s="5" t="s">
        <v>128</v>
      </c>
      <c r="Q150" s="5" t="s">
        <v>62</v>
      </c>
      <c r="R150" s="5" t="s">
        <v>385</v>
      </c>
      <c r="S150" s="5" t="s">
        <v>52</v>
      </c>
      <c r="T150" s="5" t="s">
        <v>914</v>
      </c>
      <c r="U150" s="5">
        <v>5357</v>
      </c>
      <c r="V150" s="5" t="s">
        <v>891</v>
      </c>
      <c r="W150" s="6" t="s">
        <v>180</v>
      </c>
      <c r="X150" s="5" t="s">
        <v>899</v>
      </c>
      <c r="Y150" s="7"/>
    </row>
    <row r="151" spans="1:25" x14ac:dyDescent="0.25">
      <c r="A151" s="8">
        <v>53</v>
      </c>
      <c r="B151" s="8" t="s">
        <v>25</v>
      </c>
      <c r="C151" s="9">
        <v>535800</v>
      </c>
      <c r="D151" s="10" t="s">
        <v>915</v>
      </c>
      <c r="E151" s="8">
        <v>5336</v>
      </c>
      <c r="F151" s="10" t="s">
        <v>916</v>
      </c>
      <c r="G151" s="8" t="s">
        <v>55</v>
      </c>
      <c r="H151" s="10" t="s">
        <v>917</v>
      </c>
      <c r="I151" s="10"/>
      <c r="J151" s="10" t="s">
        <v>918</v>
      </c>
      <c r="K151" s="10" t="s">
        <v>919</v>
      </c>
      <c r="L151" s="10" t="s">
        <v>59</v>
      </c>
      <c r="M151" s="10" t="s">
        <v>438</v>
      </c>
      <c r="N151" s="10" t="s">
        <v>439</v>
      </c>
      <c r="O151" s="10" t="s">
        <v>246</v>
      </c>
      <c r="P151" s="10" t="s">
        <v>39</v>
      </c>
      <c r="Q151" s="10" t="s">
        <v>440</v>
      </c>
      <c r="R151" s="10" t="s">
        <v>41</v>
      </c>
      <c r="S151" s="10" t="s">
        <v>52</v>
      </c>
      <c r="T151" s="10" t="s">
        <v>43</v>
      </c>
      <c r="U151" s="10">
        <v>5357</v>
      </c>
      <c r="V151" s="10" t="s">
        <v>891</v>
      </c>
      <c r="W151" s="11">
        <v>5335</v>
      </c>
      <c r="X151" s="10" t="s">
        <v>920</v>
      </c>
      <c r="Y151" s="12"/>
    </row>
    <row r="152" spans="1:25" x14ac:dyDescent="0.25">
      <c r="A152" s="3">
        <v>53</v>
      </c>
      <c r="B152" s="3" t="s">
        <v>25</v>
      </c>
      <c r="C152" s="4">
        <v>535890</v>
      </c>
      <c r="D152" s="5" t="s">
        <v>921</v>
      </c>
      <c r="E152" s="3">
        <v>5336</v>
      </c>
      <c r="F152" s="5" t="s">
        <v>916</v>
      </c>
      <c r="G152" s="3" t="s">
        <v>55</v>
      </c>
      <c r="H152" s="5" t="s">
        <v>922</v>
      </c>
      <c r="I152" s="5"/>
      <c r="J152" s="5" t="s">
        <v>923</v>
      </c>
      <c r="K152" s="5" t="s">
        <v>34</v>
      </c>
      <c r="L152" s="5" t="s">
        <v>35</v>
      </c>
      <c r="M152" s="5" t="s">
        <v>49</v>
      </c>
      <c r="N152" s="5" t="s">
        <v>50</v>
      </c>
      <c r="O152" s="5" t="s">
        <v>924</v>
      </c>
      <c r="P152" s="5" t="s">
        <v>39</v>
      </c>
      <c r="Q152" s="5" t="s">
        <v>62</v>
      </c>
      <c r="R152" s="5" t="s">
        <v>41</v>
      </c>
      <c r="S152" s="5" t="s">
        <v>925</v>
      </c>
      <c r="T152" s="5" t="s">
        <v>43</v>
      </c>
      <c r="U152" s="5">
        <v>5357</v>
      </c>
      <c r="V152" s="5" t="s">
        <v>891</v>
      </c>
      <c r="W152" s="6">
        <v>5335</v>
      </c>
      <c r="X152" s="5" t="s">
        <v>926</v>
      </c>
      <c r="Y152" s="7"/>
    </row>
    <row r="153" spans="1:25" x14ac:dyDescent="0.25">
      <c r="A153" s="8">
        <v>53</v>
      </c>
      <c r="B153" s="8" t="s">
        <v>25</v>
      </c>
      <c r="C153" s="9">
        <v>535950</v>
      </c>
      <c r="D153" s="10" t="s">
        <v>927</v>
      </c>
      <c r="E153" s="8">
        <v>5336</v>
      </c>
      <c r="F153" s="10" t="s">
        <v>916</v>
      </c>
      <c r="G153" s="8" t="s">
        <v>55</v>
      </c>
      <c r="H153" s="10" t="s">
        <v>928</v>
      </c>
      <c r="I153" s="10"/>
      <c r="J153" s="10" t="s">
        <v>929</v>
      </c>
      <c r="K153" s="10" t="s">
        <v>930</v>
      </c>
      <c r="L153" s="10" t="s">
        <v>35</v>
      </c>
      <c r="M153" s="10" t="s">
        <v>68</v>
      </c>
      <c r="N153" s="10" t="s">
        <v>79</v>
      </c>
      <c r="O153" s="10" t="s">
        <v>931</v>
      </c>
      <c r="P153" s="10" t="s">
        <v>39</v>
      </c>
      <c r="Q153" s="10" t="s">
        <v>40</v>
      </c>
      <c r="R153" s="10" t="s">
        <v>41</v>
      </c>
      <c r="S153" s="10" t="s">
        <v>42</v>
      </c>
      <c r="T153" s="10" t="s">
        <v>43</v>
      </c>
      <c r="U153" s="10">
        <v>5357</v>
      </c>
      <c r="V153" s="10" t="s">
        <v>891</v>
      </c>
      <c r="W153" s="11">
        <v>5335</v>
      </c>
      <c r="X153" s="10" t="s">
        <v>932</v>
      </c>
      <c r="Y153" s="12"/>
    </row>
    <row r="154" spans="1:25" x14ac:dyDescent="0.25">
      <c r="A154" s="3">
        <v>53</v>
      </c>
      <c r="B154" s="3" t="s">
        <v>25</v>
      </c>
      <c r="C154" s="4">
        <v>535840</v>
      </c>
      <c r="D154" s="5" t="s">
        <v>933</v>
      </c>
      <c r="E154" s="3">
        <v>5336</v>
      </c>
      <c r="F154" s="5" t="s">
        <v>916</v>
      </c>
      <c r="G154" s="3" t="s">
        <v>55</v>
      </c>
      <c r="H154" s="5" t="s">
        <v>934</v>
      </c>
      <c r="I154" s="5"/>
      <c r="J154" s="5" t="s">
        <v>935</v>
      </c>
      <c r="K154" s="5" t="s">
        <v>936</v>
      </c>
      <c r="L154" s="5" t="s">
        <v>35</v>
      </c>
      <c r="M154" s="5" t="s">
        <v>438</v>
      </c>
      <c r="N154" s="5" t="s">
        <v>439</v>
      </c>
      <c r="O154" s="5" t="s">
        <v>246</v>
      </c>
      <c r="P154" s="5" t="s">
        <v>39</v>
      </c>
      <c r="Q154" s="5" t="s">
        <v>440</v>
      </c>
      <c r="R154" s="5" t="s">
        <v>41</v>
      </c>
      <c r="S154" s="5" t="s">
        <v>42</v>
      </c>
      <c r="T154" s="5" t="s">
        <v>43</v>
      </c>
      <c r="U154" s="5">
        <v>5357</v>
      </c>
      <c r="V154" s="5" t="s">
        <v>891</v>
      </c>
      <c r="W154" s="6">
        <v>5335</v>
      </c>
      <c r="X154" s="5" t="s">
        <v>937</v>
      </c>
      <c r="Y154" s="7"/>
    </row>
    <row r="155" spans="1:25" x14ac:dyDescent="0.25">
      <c r="A155" s="8">
        <v>53</v>
      </c>
      <c r="B155" s="8" t="s">
        <v>25</v>
      </c>
      <c r="C155" s="9">
        <v>535970</v>
      </c>
      <c r="D155" s="10" t="s">
        <v>938</v>
      </c>
      <c r="E155" s="8">
        <v>5336</v>
      </c>
      <c r="F155" s="10" t="s">
        <v>916</v>
      </c>
      <c r="G155" s="8" t="s">
        <v>55</v>
      </c>
      <c r="H155" s="10" t="s">
        <v>939</v>
      </c>
      <c r="I155" s="10"/>
      <c r="J155" s="10" t="s">
        <v>940</v>
      </c>
      <c r="K155" s="10" t="s">
        <v>941</v>
      </c>
      <c r="L155" s="10" t="s">
        <v>78</v>
      </c>
      <c r="M155" s="10" t="s">
        <v>161</v>
      </c>
      <c r="N155" s="10" t="s">
        <v>162</v>
      </c>
      <c r="O155" s="10" t="s">
        <v>98</v>
      </c>
      <c r="P155" s="10" t="s">
        <v>39</v>
      </c>
      <c r="Q155" s="10" t="s">
        <v>440</v>
      </c>
      <c r="R155" s="10" t="s">
        <v>732</v>
      </c>
      <c r="S155" s="10" t="s">
        <v>42</v>
      </c>
      <c r="T155" s="10" t="s">
        <v>43</v>
      </c>
      <c r="U155" s="10">
        <v>5357</v>
      </c>
      <c r="V155" s="10" t="s">
        <v>891</v>
      </c>
      <c r="W155" s="11">
        <v>5335</v>
      </c>
      <c r="X155" s="10" t="s">
        <v>942</v>
      </c>
      <c r="Y155" s="12"/>
    </row>
    <row r="156" spans="1:25" x14ac:dyDescent="0.25">
      <c r="A156" s="3">
        <v>53</v>
      </c>
      <c r="B156" s="3" t="s">
        <v>25</v>
      </c>
      <c r="C156" s="4">
        <v>535980</v>
      </c>
      <c r="D156" s="5" t="s">
        <v>943</v>
      </c>
      <c r="E156" s="3">
        <v>5336</v>
      </c>
      <c r="F156" s="5" t="s">
        <v>916</v>
      </c>
      <c r="G156" s="3" t="s">
        <v>55</v>
      </c>
      <c r="H156" s="5" t="s">
        <v>944</v>
      </c>
      <c r="I156" s="5"/>
      <c r="J156" s="5" t="s">
        <v>945</v>
      </c>
      <c r="K156" s="5" t="s">
        <v>946</v>
      </c>
      <c r="L156" s="5" t="s">
        <v>78</v>
      </c>
      <c r="M156" s="5" t="s">
        <v>68</v>
      </c>
      <c r="N156" s="5" t="s">
        <v>69</v>
      </c>
      <c r="O156" s="5" t="s">
        <v>947</v>
      </c>
      <c r="P156" s="5" t="s">
        <v>39</v>
      </c>
      <c r="Q156" s="5" t="s">
        <v>62</v>
      </c>
      <c r="R156" s="5" t="s">
        <v>41</v>
      </c>
      <c r="S156" s="5" t="s">
        <v>82</v>
      </c>
      <c r="T156" s="5" t="s">
        <v>43</v>
      </c>
      <c r="U156" s="5">
        <v>5357</v>
      </c>
      <c r="V156" s="5" t="s">
        <v>891</v>
      </c>
      <c r="W156" s="6">
        <v>5335</v>
      </c>
      <c r="X156" s="5" t="s">
        <v>948</v>
      </c>
      <c r="Y156" s="7"/>
    </row>
    <row r="157" spans="1:25" x14ac:dyDescent="0.25">
      <c r="A157" s="8">
        <v>53</v>
      </c>
      <c r="B157" s="8" t="s">
        <v>25</v>
      </c>
      <c r="C157" s="9">
        <v>536701</v>
      </c>
      <c r="D157" s="10" t="s">
        <v>949</v>
      </c>
      <c r="E157" s="8">
        <v>5339</v>
      </c>
      <c r="F157" s="10" t="s">
        <v>950</v>
      </c>
      <c r="G157" s="8" t="s">
        <v>55</v>
      </c>
      <c r="H157" s="10" t="s">
        <v>951</v>
      </c>
      <c r="I157" s="10"/>
      <c r="J157" s="10" t="s">
        <v>952</v>
      </c>
      <c r="K157" s="10" t="s">
        <v>953</v>
      </c>
      <c r="L157" s="10" t="s">
        <v>59</v>
      </c>
      <c r="M157" s="10" t="s">
        <v>68</v>
      </c>
      <c r="N157" s="10" t="s">
        <v>69</v>
      </c>
      <c r="O157" s="10" t="s">
        <v>954</v>
      </c>
      <c r="P157" s="10" t="s">
        <v>199</v>
      </c>
      <c r="Q157" s="10" t="s">
        <v>40</v>
      </c>
      <c r="R157" s="10" t="s">
        <v>41</v>
      </c>
      <c r="S157" s="10" t="s">
        <v>52</v>
      </c>
      <c r="T157" s="10" t="s">
        <v>43</v>
      </c>
      <c r="U157" s="10">
        <v>5310</v>
      </c>
      <c r="V157" s="10" t="s">
        <v>27</v>
      </c>
      <c r="W157" s="11" t="s">
        <v>44</v>
      </c>
      <c r="X157" s="10" t="s">
        <v>955</v>
      </c>
      <c r="Y157" s="12"/>
    </row>
    <row r="158" spans="1:25" x14ac:dyDescent="0.25">
      <c r="A158" s="3">
        <v>53</v>
      </c>
      <c r="B158" s="3" t="s">
        <v>25</v>
      </c>
      <c r="C158" s="4">
        <v>536790</v>
      </c>
      <c r="D158" s="5" t="s">
        <v>956</v>
      </c>
      <c r="E158" s="3">
        <v>5339</v>
      </c>
      <c r="F158" s="5" t="s">
        <v>950</v>
      </c>
      <c r="G158" s="3" t="s">
        <v>55</v>
      </c>
      <c r="H158" s="5" t="s">
        <v>957</v>
      </c>
      <c r="I158" s="5"/>
      <c r="J158" s="5" t="s">
        <v>958</v>
      </c>
      <c r="K158" s="5" t="s">
        <v>959</v>
      </c>
      <c r="L158" s="5" t="s">
        <v>35</v>
      </c>
      <c r="M158" s="5" t="s">
        <v>68</v>
      </c>
      <c r="N158" s="5" t="s">
        <v>69</v>
      </c>
      <c r="O158" s="5" t="s">
        <v>960</v>
      </c>
      <c r="P158" s="5" t="s">
        <v>61</v>
      </c>
      <c r="Q158" s="5" t="s">
        <v>40</v>
      </c>
      <c r="R158" s="5" t="s">
        <v>41</v>
      </c>
      <c r="S158" s="5" t="s">
        <v>52</v>
      </c>
      <c r="T158" s="5" t="s">
        <v>43</v>
      </c>
      <c r="U158" s="5">
        <v>5310</v>
      </c>
      <c r="V158" s="5" t="s">
        <v>27</v>
      </c>
      <c r="W158" s="6" t="s">
        <v>44</v>
      </c>
      <c r="X158" s="5" t="s">
        <v>961</v>
      </c>
      <c r="Y158" s="7"/>
    </row>
    <row r="159" spans="1:25" x14ac:dyDescent="0.25">
      <c r="A159" s="8">
        <v>53</v>
      </c>
      <c r="B159" s="8" t="s">
        <v>25</v>
      </c>
      <c r="C159" s="9">
        <v>536790</v>
      </c>
      <c r="D159" s="10" t="s">
        <v>956</v>
      </c>
      <c r="E159" s="8">
        <v>5339</v>
      </c>
      <c r="F159" s="10" t="s">
        <v>950</v>
      </c>
      <c r="G159" s="8" t="s">
        <v>55</v>
      </c>
      <c r="H159" s="13" t="s">
        <v>962</v>
      </c>
      <c r="I159" s="14">
        <f ca="1">IF(H159="", "", IF(OR(I159="", I159=0), NOW(), I159))</f>
        <v>46244.354929861111</v>
      </c>
      <c r="J159" s="5" t="s">
        <v>963</v>
      </c>
      <c r="K159" s="10" t="s">
        <v>964</v>
      </c>
      <c r="L159" s="10" t="s">
        <v>78</v>
      </c>
      <c r="M159" s="10" t="s">
        <v>268</v>
      </c>
      <c r="N159" s="10" t="s">
        <v>269</v>
      </c>
      <c r="O159" s="10" t="s">
        <v>270</v>
      </c>
      <c r="P159" s="10" t="s">
        <v>39</v>
      </c>
      <c r="Q159" s="10" t="s">
        <v>965</v>
      </c>
      <c r="R159" s="10" t="s">
        <v>100</v>
      </c>
      <c r="S159" s="10" t="s">
        <v>52</v>
      </c>
      <c r="T159" s="10" t="s">
        <v>43</v>
      </c>
      <c r="U159" s="10">
        <v>5310</v>
      </c>
      <c r="V159" s="10" t="s">
        <v>27</v>
      </c>
      <c r="W159" s="11" t="s">
        <v>44</v>
      </c>
      <c r="X159" s="10" t="s">
        <v>961</v>
      </c>
      <c r="Y159" s="12"/>
    </row>
    <row r="160" spans="1:25" x14ac:dyDescent="0.25">
      <c r="A160" s="3">
        <v>53</v>
      </c>
      <c r="B160" s="3" t="s">
        <v>25</v>
      </c>
      <c r="C160" s="4">
        <v>531950</v>
      </c>
      <c r="D160" s="5" t="s">
        <v>966</v>
      </c>
      <c r="E160" s="3">
        <v>5340</v>
      </c>
      <c r="F160" s="5" t="s">
        <v>967</v>
      </c>
      <c r="G160" s="3" t="s">
        <v>31</v>
      </c>
      <c r="H160" s="5" t="s">
        <v>968</v>
      </c>
      <c r="I160" s="5"/>
      <c r="J160" s="5" t="s">
        <v>969</v>
      </c>
      <c r="K160" s="5" t="s">
        <v>970</v>
      </c>
      <c r="L160" s="5" t="s">
        <v>35</v>
      </c>
      <c r="M160" s="5" t="s">
        <v>125</v>
      </c>
      <c r="N160" s="5" t="s">
        <v>126</v>
      </c>
      <c r="O160" s="5" t="s">
        <v>971</v>
      </c>
      <c r="P160" s="5" t="s">
        <v>128</v>
      </c>
      <c r="Q160" s="5" t="s">
        <v>129</v>
      </c>
      <c r="R160" s="5" t="s">
        <v>41</v>
      </c>
      <c r="S160" s="5" t="s">
        <v>42</v>
      </c>
      <c r="T160" s="5" t="s">
        <v>43</v>
      </c>
      <c r="U160" s="5">
        <v>5310</v>
      </c>
      <c r="V160" s="5" t="s">
        <v>27</v>
      </c>
      <c r="W160" s="6" t="s">
        <v>44</v>
      </c>
      <c r="X160" s="5" t="s">
        <v>972</v>
      </c>
      <c r="Y160" s="7"/>
    </row>
    <row r="161" spans="1:25" x14ac:dyDescent="0.25">
      <c r="A161" s="8">
        <v>53</v>
      </c>
      <c r="B161" s="8" t="s">
        <v>25</v>
      </c>
      <c r="C161" s="9">
        <v>531950</v>
      </c>
      <c r="D161" s="10" t="s">
        <v>966</v>
      </c>
      <c r="E161" s="8">
        <v>5340</v>
      </c>
      <c r="F161" s="10" t="s">
        <v>967</v>
      </c>
      <c r="G161" s="8" t="s">
        <v>31</v>
      </c>
      <c r="H161" s="10" t="s">
        <v>973</v>
      </c>
      <c r="I161" s="10"/>
      <c r="J161" s="10" t="s">
        <v>974</v>
      </c>
      <c r="K161" s="10" t="s">
        <v>975</v>
      </c>
      <c r="L161" s="10" t="s">
        <v>35</v>
      </c>
      <c r="M161" s="10" t="s">
        <v>68</v>
      </c>
      <c r="N161" s="10" t="s">
        <v>167</v>
      </c>
      <c r="O161" s="10" t="s">
        <v>976</v>
      </c>
      <c r="P161" s="10" t="s">
        <v>39</v>
      </c>
      <c r="Q161" s="10" t="s">
        <v>169</v>
      </c>
      <c r="R161" s="10" t="s">
        <v>41</v>
      </c>
      <c r="S161" s="10" t="s">
        <v>137</v>
      </c>
      <c r="T161" s="10" t="s">
        <v>977</v>
      </c>
      <c r="U161" s="10">
        <v>5310</v>
      </c>
      <c r="V161" s="10" t="s">
        <v>27</v>
      </c>
      <c r="W161" s="11" t="s">
        <v>44</v>
      </c>
      <c r="X161" s="10" t="s">
        <v>972</v>
      </c>
      <c r="Y161" s="12"/>
    </row>
    <row r="162" spans="1:25" x14ac:dyDescent="0.25">
      <c r="A162" s="3">
        <v>53</v>
      </c>
      <c r="B162" s="3" t="s">
        <v>25</v>
      </c>
      <c r="C162" s="4">
        <v>531950</v>
      </c>
      <c r="D162" s="5" t="s">
        <v>966</v>
      </c>
      <c r="E162" s="3">
        <v>5340</v>
      </c>
      <c r="F162" s="5" t="s">
        <v>967</v>
      </c>
      <c r="G162" s="3" t="s">
        <v>31</v>
      </c>
      <c r="H162" s="5" t="s">
        <v>978</v>
      </c>
      <c r="I162" s="14">
        <f ca="1">IF(H162="", "", IF(OR(I162="", I162=0), NOW(), I162))</f>
        <v>46241.455061805558</v>
      </c>
      <c r="J162" s="5" t="s">
        <v>979</v>
      </c>
      <c r="K162" s="5" t="s">
        <v>980</v>
      </c>
      <c r="L162" s="5" t="s">
        <v>78</v>
      </c>
      <c r="M162" s="5" t="s">
        <v>244</v>
      </c>
      <c r="N162" s="5" t="s">
        <v>981</v>
      </c>
      <c r="O162" s="5" t="s">
        <v>246</v>
      </c>
      <c r="P162" s="5" t="s">
        <v>39</v>
      </c>
      <c r="Q162" s="5" t="s">
        <v>440</v>
      </c>
      <c r="R162" s="5" t="s">
        <v>100</v>
      </c>
      <c r="S162" s="5" t="s">
        <v>137</v>
      </c>
      <c r="T162" s="5"/>
      <c r="U162" s="5">
        <v>5310</v>
      </c>
      <c r="V162" s="5" t="s">
        <v>27</v>
      </c>
      <c r="W162" s="6" t="s">
        <v>44</v>
      </c>
      <c r="X162" s="5" t="s">
        <v>972</v>
      </c>
      <c r="Y162" s="7"/>
    </row>
    <row r="163" spans="1:25" x14ac:dyDescent="0.25">
      <c r="A163" s="3">
        <v>53</v>
      </c>
      <c r="B163" s="3" t="s">
        <v>25</v>
      </c>
      <c r="C163" s="4">
        <v>531950</v>
      </c>
      <c r="D163" s="5" t="s">
        <v>966</v>
      </c>
      <c r="E163" s="3">
        <v>5340</v>
      </c>
      <c r="F163" s="5" t="s">
        <v>967</v>
      </c>
      <c r="G163" s="3" t="s">
        <v>31</v>
      </c>
      <c r="H163" s="5" t="s">
        <v>982</v>
      </c>
      <c r="I163" s="14">
        <f ca="1">IF(H163="", "", IF(OR(I163="", I163=0), NOW(), I163))</f>
        <v>46241.429862962963</v>
      </c>
      <c r="J163" s="5" t="s">
        <v>983</v>
      </c>
      <c r="K163" s="5" t="s">
        <v>984</v>
      </c>
      <c r="L163" s="5" t="s">
        <v>35</v>
      </c>
      <c r="M163" s="5" t="s">
        <v>68</v>
      </c>
      <c r="N163" s="5" t="s">
        <v>167</v>
      </c>
      <c r="O163" s="5" t="s">
        <v>985</v>
      </c>
      <c r="P163" s="5" t="s">
        <v>39</v>
      </c>
      <c r="Q163" s="5" t="s">
        <v>190</v>
      </c>
      <c r="R163" s="5" t="s">
        <v>41</v>
      </c>
      <c r="S163" s="5" t="s">
        <v>42</v>
      </c>
      <c r="T163" s="5" t="s">
        <v>986</v>
      </c>
      <c r="U163" s="5">
        <v>5310</v>
      </c>
      <c r="V163" s="5" t="s">
        <v>27</v>
      </c>
      <c r="W163" s="6" t="s">
        <v>44</v>
      </c>
      <c r="X163" s="5" t="s">
        <v>972</v>
      </c>
      <c r="Y163" s="7"/>
    </row>
    <row r="164" spans="1:25" x14ac:dyDescent="0.25">
      <c r="A164" s="3">
        <v>53</v>
      </c>
      <c r="B164" s="3" t="s">
        <v>25</v>
      </c>
      <c r="C164" s="4">
        <v>532350</v>
      </c>
      <c r="D164" s="5" t="s">
        <v>987</v>
      </c>
      <c r="E164" s="3">
        <v>5340</v>
      </c>
      <c r="F164" s="5" t="s">
        <v>967</v>
      </c>
      <c r="G164" s="3" t="s">
        <v>31</v>
      </c>
      <c r="H164" s="5" t="s">
        <v>988</v>
      </c>
      <c r="I164" s="5"/>
      <c r="J164" s="5" t="s">
        <v>989</v>
      </c>
      <c r="K164" s="5" t="s">
        <v>990</v>
      </c>
      <c r="L164" s="5" t="s">
        <v>35</v>
      </c>
      <c r="M164" s="5" t="s">
        <v>68</v>
      </c>
      <c r="N164" s="5" t="s">
        <v>167</v>
      </c>
      <c r="O164" s="5" t="s">
        <v>991</v>
      </c>
      <c r="P164" s="5" t="s">
        <v>39</v>
      </c>
      <c r="Q164" s="5" t="s">
        <v>190</v>
      </c>
      <c r="R164" s="5" t="s">
        <v>41</v>
      </c>
      <c r="S164" s="5" t="s">
        <v>52</v>
      </c>
      <c r="T164" s="5" t="s">
        <v>43</v>
      </c>
      <c r="U164" s="5">
        <v>5310</v>
      </c>
      <c r="V164" s="5" t="s">
        <v>27</v>
      </c>
      <c r="W164" s="6" t="s">
        <v>44</v>
      </c>
      <c r="X164" s="5" t="s">
        <v>992</v>
      </c>
      <c r="Y164" s="7"/>
    </row>
    <row r="165" spans="1:25" x14ac:dyDescent="0.25">
      <c r="A165" s="8">
        <v>53</v>
      </c>
      <c r="B165" s="8" t="s">
        <v>25</v>
      </c>
      <c r="C165" s="9">
        <v>531600</v>
      </c>
      <c r="D165" s="10" t="s">
        <v>993</v>
      </c>
      <c r="E165" s="8">
        <v>5340</v>
      </c>
      <c r="F165" s="10" t="s">
        <v>967</v>
      </c>
      <c r="G165" s="8" t="s">
        <v>31</v>
      </c>
      <c r="H165" s="10" t="s">
        <v>994</v>
      </c>
      <c r="I165" s="10"/>
      <c r="J165" s="10" t="s">
        <v>995</v>
      </c>
      <c r="K165" s="10" t="s">
        <v>996</v>
      </c>
      <c r="L165" s="10" t="s">
        <v>78</v>
      </c>
      <c r="M165" s="10" t="s">
        <v>68</v>
      </c>
      <c r="N165" s="10" t="s">
        <v>69</v>
      </c>
      <c r="O165" s="10" t="s">
        <v>997</v>
      </c>
      <c r="P165" s="10" t="s">
        <v>71</v>
      </c>
      <c r="Q165" s="10" t="s">
        <v>190</v>
      </c>
      <c r="R165" s="10" t="s">
        <v>41</v>
      </c>
      <c r="S165" s="10" t="s">
        <v>90</v>
      </c>
      <c r="T165" s="10" t="s">
        <v>43</v>
      </c>
      <c r="U165" s="10">
        <v>5310</v>
      </c>
      <c r="V165" s="10" t="s">
        <v>27</v>
      </c>
      <c r="W165" s="11" t="s">
        <v>44</v>
      </c>
      <c r="X165" s="10" t="s">
        <v>998</v>
      </c>
      <c r="Y165" s="12"/>
    </row>
    <row r="166" spans="1:25" x14ac:dyDescent="0.25">
      <c r="A166" s="3">
        <v>53</v>
      </c>
      <c r="B166" s="3" t="s">
        <v>25</v>
      </c>
      <c r="C166" s="4">
        <v>531600</v>
      </c>
      <c r="D166" s="5" t="s">
        <v>993</v>
      </c>
      <c r="E166" s="3">
        <v>5340</v>
      </c>
      <c r="F166" s="5" t="s">
        <v>967</v>
      </c>
      <c r="G166" s="3" t="s">
        <v>31</v>
      </c>
      <c r="H166" s="5" t="s">
        <v>999</v>
      </c>
      <c r="I166" s="5"/>
      <c r="J166" s="5" t="s">
        <v>1000</v>
      </c>
      <c r="K166" s="5" t="s">
        <v>1001</v>
      </c>
      <c r="L166" s="5" t="s">
        <v>78</v>
      </c>
      <c r="M166" s="5" t="s">
        <v>68</v>
      </c>
      <c r="N166" s="5" t="s">
        <v>167</v>
      </c>
      <c r="O166" s="5" t="s">
        <v>1002</v>
      </c>
      <c r="P166" s="5" t="s">
        <v>39</v>
      </c>
      <c r="Q166" s="5" t="s">
        <v>190</v>
      </c>
      <c r="R166" s="5" t="s">
        <v>41</v>
      </c>
      <c r="S166" s="5" t="s">
        <v>42</v>
      </c>
      <c r="T166" s="5" t="s">
        <v>43</v>
      </c>
      <c r="U166" s="5">
        <v>5310</v>
      </c>
      <c r="V166" s="5" t="s">
        <v>27</v>
      </c>
      <c r="W166" s="6" t="s">
        <v>44</v>
      </c>
      <c r="X166" s="5" t="s">
        <v>998</v>
      </c>
      <c r="Y166" s="7"/>
    </row>
    <row r="167" spans="1:25" x14ac:dyDescent="0.25">
      <c r="A167" s="8">
        <v>53</v>
      </c>
      <c r="B167" s="8" t="s">
        <v>25</v>
      </c>
      <c r="C167" s="9">
        <v>531600</v>
      </c>
      <c r="D167" s="10" t="s">
        <v>993</v>
      </c>
      <c r="E167" s="8">
        <v>5340</v>
      </c>
      <c r="F167" s="10" t="s">
        <v>967</v>
      </c>
      <c r="G167" s="8" t="s">
        <v>31</v>
      </c>
      <c r="H167" s="10" t="s">
        <v>1003</v>
      </c>
      <c r="I167" s="10"/>
      <c r="J167" s="10" t="s">
        <v>1000</v>
      </c>
      <c r="K167" s="10" t="s">
        <v>1001</v>
      </c>
      <c r="L167" s="10" t="s">
        <v>78</v>
      </c>
      <c r="M167" s="10" t="s">
        <v>68</v>
      </c>
      <c r="N167" s="10" t="s">
        <v>167</v>
      </c>
      <c r="O167" s="10" t="s">
        <v>1002</v>
      </c>
      <c r="P167" s="10" t="s">
        <v>39</v>
      </c>
      <c r="Q167" s="10" t="s">
        <v>190</v>
      </c>
      <c r="R167" s="10" t="s">
        <v>41</v>
      </c>
      <c r="S167" s="10" t="s">
        <v>42</v>
      </c>
      <c r="T167" s="10" t="s">
        <v>43</v>
      </c>
      <c r="U167" s="10">
        <v>5310</v>
      </c>
      <c r="V167" s="10" t="s">
        <v>27</v>
      </c>
      <c r="W167" s="11" t="s">
        <v>44</v>
      </c>
      <c r="X167" s="10" t="s">
        <v>998</v>
      </c>
      <c r="Y167" s="12"/>
    </row>
    <row r="168" spans="1:25" x14ac:dyDescent="0.25">
      <c r="A168" s="3">
        <v>53</v>
      </c>
      <c r="B168" s="3" t="s">
        <v>25</v>
      </c>
      <c r="C168" s="4">
        <v>535300</v>
      </c>
      <c r="D168" s="5" t="s">
        <v>1004</v>
      </c>
      <c r="E168" s="3">
        <v>5341</v>
      </c>
      <c r="F168" s="5" t="s">
        <v>1005</v>
      </c>
      <c r="G168" s="3" t="s">
        <v>395</v>
      </c>
      <c r="H168" s="5" t="s">
        <v>1006</v>
      </c>
      <c r="I168" s="5"/>
      <c r="J168" s="5" t="s">
        <v>1007</v>
      </c>
      <c r="K168" s="5" t="s">
        <v>1008</v>
      </c>
      <c r="L168" s="5" t="s">
        <v>78</v>
      </c>
      <c r="M168" s="5" t="s">
        <v>1009</v>
      </c>
      <c r="N168" s="5" t="s">
        <v>1010</v>
      </c>
      <c r="O168" s="5" t="s">
        <v>1011</v>
      </c>
      <c r="P168" s="5" t="s">
        <v>39</v>
      </c>
      <c r="Q168" s="5" t="s">
        <v>1012</v>
      </c>
      <c r="R168" s="5" t="s">
        <v>41</v>
      </c>
      <c r="S168" s="5" t="s">
        <v>137</v>
      </c>
      <c r="T168" s="5" t="s">
        <v>43</v>
      </c>
      <c r="U168" s="5">
        <v>5353</v>
      </c>
      <c r="V168" s="5" t="s">
        <v>118</v>
      </c>
      <c r="W168" s="6" t="s">
        <v>180</v>
      </c>
      <c r="X168" s="5" t="s">
        <v>1013</v>
      </c>
      <c r="Y168" s="7"/>
    </row>
    <row r="169" spans="1:25" x14ac:dyDescent="0.25">
      <c r="A169" s="8">
        <v>53</v>
      </c>
      <c r="B169" s="8" t="s">
        <v>25</v>
      </c>
      <c r="C169" s="9">
        <v>535300</v>
      </c>
      <c r="D169" s="10" t="s">
        <v>1004</v>
      </c>
      <c r="E169" s="8">
        <v>5341</v>
      </c>
      <c r="F169" s="10" t="s">
        <v>1005</v>
      </c>
      <c r="G169" s="8" t="s">
        <v>395</v>
      </c>
      <c r="H169" s="10" t="s">
        <v>1014</v>
      </c>
      <c r="I169" s="10"/>
      <c r="J169" s="10" t="s">
        <v>1015</v>
      </c>
      <c r="K169" s="10" t="s">
        <v>1016</v>
      </c>
      <c r="L169" s="10" t="s">
        <v>59</v>
      </c>
      <c r="M169" s="10" t="s">
        <v>268</v>
      </c>
      <c r="N169" s="10" t="s">
        <v>1017</v>
      </c>
      <c r="O169" s="10" t="s">
        <v>270</v>
      </c>
      <c r="P169" s="10" t="s">
        <v>39</v>
      </c>
      <c r="Q169" s="10" t="s">
        <v>99</v>
      </c>
      <c r="R169" s="10" t="s">
        <v>41</v>
      </c>
      <c r="S169" s="10" t="s">
        <v>1018</v>
      </c>
      <c r="T169" s="10" t="s">
        <v>1019</v>
      </c>
      <c r="U169" s="10">
        <v>5353</v>
      </c>
      <c r="V169" s="10" t="s">
        <v>118</v>
      </c>
      <c r="W169" s="11" t="s">
        <v>180</v>
      </c>
      <c r="X169" s="10" t="s">
        <v>1013</v>
      </c>
      <c r="Y169" s="12"/>
    </row>
    <row r="170" spans="1:25" x14ac:dyDescent="0.25">
      <c r="A170" s="3">
        <v>53</v>
      </c>
      <c r="B170" s="3" t="s">
        <v>25</v>
      </c>
      <c r="C170" s="4">
        <v>535300</v>
      </c>
      <c r="D170" s="5" t="s">
        <v>1004</v>
      </c>
      <c r="E170" s="3">
        <v>5341</v>
      </c>
      <c r="F170" s="5" t="s">
        <v>1005</v>
      </c>
      <c r="G170" s="3" t="s">
        <v>395</v>
      </c>
      <c r="H170" s="5" t="s">
        <v>1020</v>
      </c>
      <c r="I170" s="5"/>
      <c r="J170" s="5" t="s">
        <v>1021</v>
      </c>
      <c r="K170" s="5" t="s">
        <v>1022</v>
      </c>
      <c r="L170" s="5" t="s">
        <v>78</v>
      </c>
      <c r="M170" s="5" t="s">
        <v>125</v>
      </c>
      <c r="N170" s="5" t="s">
        <v>126</v>
      </c>
      <c r="O170" s="5" t="s">
        <v>1023</v>
      </c>
      <c r="P170" s="5" t="s">
        <v>39</v>
      </c>
      <c r="Q170" s="5" t="s">
        <v>129</v>
      </c>
      <c r="R170" s="5" t="s">
        <v>41</v>
      </c>
      <c r="S170" s="5" t="s">
        <v>42</v>
      </c>
      <c r="T170" s="5" t="s">
        <v>43</v>
      </c>
      <c r="U170" s="5">
        <v>5353</v>
      </c>
      <c r="V170" s="5" t="s">
        <v>118</v>
      </c>
      <c r="W170" s="6" t="s">
        <v>180</v>
      </c>
      <c r="X170" s="5" t="s">
        <v>1013</v>
      </c>
      <c r="Y170" s="7"/>
    </row>
    <row r="171" spans="1:25" x14ac:dyDescent="0.25">
      <c r="A171" s="8">
        <v>53</v>
      </c>
      <c r="B171" s="8" t="s">
        <v>25</v>
      </c>
      <c r="C171" s="9">
        <v>535300</v>
      </c>
      <c r="D171" s="10" t="s">
        <v>1004</v>
      </c>
      <c r="E171" s="8">
        <v>5341</v>
      </c>
      <c r="F171" s="10" t="s">
        <v>1005</v>
      </c>
      <c r="G171" s="8" t="s">
        <v>395</v>
      </c>
      <c r="H171" s="10" t="s">
        <v>1024</v>
      </c>
      <c r="I171" s="10"/>
      <c r="J171" s="10" t="s">
        <v>1025</v>
      </c>
      <c r="K171" s="10" t="s">
        <v>1026</v>
      </c>
      <c r="L171" s="10" t="s">
        <v>78</v>
      </c>
      <c r="M171" s="10" t="s">
        <v>230</v>
      </c>
      <c r="N171" s="10" t="s">
        <v>1027</v>
      </c>
      <c r="O171" s="10" t="s">
        <v>246</v>
      </c>
      <c r="P171" s="10" t="s">
        <v>680</v>
      </c>
      <c r="Q171" s="10" t="s">
        <v>108</v>
      </c>
      <c r="R171" s="10" t="s">
        <v>41</v>
      </c>
      <c r="S171" s="10" t="s">
        <v>82</v>
      </c>
      <c r="T171" s="10" t="s">
        <v>43</v>
      </c>
      <c r="U171" s="10">
        <v>5353</v>
      </c>
      <c r="V171" s="10" t="s">
        <v>118</v>
      </c>
      <c r="W171" s="11" t="s">
        <v>180</v>
      </c>
      <c r="X171" s="10" t="s">
        <v>1013</v>
      </c>
      <c r="Y171" s="12"/>
    </row>
    <row r="172" spans="1:25" x14ac:dyDescent="0.25">
      <c r="A172" s="3">
        <v>53</v>
      </c>
      <c r="B172" s="3" t="s">
        <v>25</v>
      </c>
      <c r="C172" s="4">
        <v>535300</v>
      </c>
      <c r="D172" s="5" t="s">
        <v>1004</v>
      </c>
      <c r="E172" s="3">
        <v>5341</v>
      </c>
      <c r="F172" s="5" t="s">
        <v>1005</v>
      </c>
      <c r="G172" s="3" t="s">
        <v>395</v>
      </c>
      <c r="H172" s="5" t="s">
        <v>1028</v>
      </c>
      <c r="I172" s="5"/>
      <c r="J172" s="5" t="s">
        <v>1029</v>
      </c>
      <c r="K172" s="5" t="s">
        <v>1030</v>
      </c>
      <c r="L172" s="5" t="s">
        <v>78</v>
      </c>
      <c r="M172" s="5" t="s">
        <v>68</v>
      </c>
      <c r="N172" s="5" t="s">
        <v>216</v>
      </c>
      <c r="O172" s="5" t="s">
        <v>1031</v>
      </c>
      <c r="P172" s="5" t="s">
        <v>136</v>
      </c>
      <c r="Q172" s="5" t="s">
        <v>1032</v>
      </c>
      <c r="R172" s="5" t="s">
        <v>41</v>
      </c>
      <c r="S172" s="5" t="s">
        <v>82</v>
      </c>
      <c r="T172" s="5" t="s">
        <v>43</v>
      </c>
      <c r="U172" s="5">
        <v>5353</v>
      </c>
      <c r="V172" s="5" t="s">
        <v>118</v>
      </c>
      <c r="W172" s="6" t="s">
        <v>180</v>
      </c>
      <c r="X172" s="5" t="s">
        <v>1013</v>
      </c>
      <c r="Y172" s="7"/>
    </row>
    <row r="173" spans="1:25" x14ac:dyDescent="0.25">
      <c r="A173" s="8">
        <v>53</v>
      </c>
      <c r="B173" s="8" t="s">
        <v>25</v>
      </c>
      <c r="C173" s="9">
        <v>535300</v>
      </c>
      <c r="D173" s="10" t="s">
        <v>1004</v>
      </c>
      <c r="E173" s="8">
        <v>5341</v>
      </c>
      <c r="F173" s="10" t="s">
        <v>1005</v>
      </c>
      <c r="G173" s="8" t="s">
        <v>395</v>
      </c>
      <c r="H173" s="10" t="s">
        <v>1033</v>
      </c>
      <c r="I173" s="10"/>
      <c r="J173" s="10" t="s">
        <v>1034</v>
      </c>
      <c r="K173" s="10" t="s">
        <v>1035</v>
      </c>
      <c r="L173" s="10" t="s">
        <v>78</v>
      </c>
      <c r="M173" s="10" t="s">
        <v>97</v>
      </c>
      <c r="N173" s="10" t="s">
        <v>97</v>
      </c>
      <c r="O173" s="10" t="s">
        <v>98</v>
      </c>
      <c r="P173" s="10" t="s">
        <v>128</v>
      </c>
      <c r="Q173" s="10" t="s">
        <v>99</v>
      </c>
      <c r="R173" s="10" t="s">
        <v>385</v>
      </c>
      <c r="S173" s="10" t="s">
        <v>137</v>
      </c>
      <c r="T173" s="10" t="s">
        <v>1036</v>
      </c>
      <c r="U173" s="10">
        <v>5353</v>
      </c>
      <c r="V173" s="10" t="s">
        <v>118</v>
      </c>
      <c r="W173" s="11" t="s">
        <v>180</v>
      </c>
      <c r="X173" s="10" t="s">
        <v>1013</v>
      </c>
      <c r="Y173" s="12"/>
    </row>
    <row r="174" spans="1:25" x14ac:dyDescent="0.25">
      <c r="A174" s="3">
        <v>53</v>
      </c>
      <c r="B174" s="3" t="s">
        <v>25</v>
      </c>
      <c r="C174" s="4">
        <v>535319</v>
      </c>
      <c r="D174" s="5" t="s">
        <v>1037</v>
      </c>
      <c r="E174" s="3">
        <v>5341</v>
      </c>
      <c r="F174" s="5" t="s">
        <v>1005</v>
      </c>
      <c r="G174" s="3" t="s">
        <v>226</v>
      </c>
      <c r="H174" s="5" t="s">
        <v>1038</v>
      </c>
      <c r="I174" s="5"/>
      <c r="J174" s="5" t="s">
        <v>1039</v>
      </c>
      <c r="K174" s="5" t="s">
        <v>1040</v>
      </c>
      <c r="L174" s="5" t="s">
        <v>35</v>
      </c>
      <c r="M174" s="5" t="s">
        <v>68</v>
      </c>
      <c r="N174" s="5" t="s">
        <v>167</v>
      </c>
      <c r="O174" s="5" t="s">
        <v>1041</v>
      </c>
      <c r="P174" s="5" t="s">
        <v>39</v>
      </c>
      <c r="Q174" s="5" t="s">
        <v>190</v>
      </c>
      <c r="R174" s="5" t="s">
        <v>41</v>
      </c>
      <c r="S174" s="5" t="s">
        <v>82</v>
      </c>
      <c r="T174" s="5" t="s">
        <v>1042</v>
      </c>
      <c r="U174" s="5">
        <v>5353</v>
      </c>
      <c r="V174" s="5" t="s">
        <v>118</v>
      </c>
      <c r="W174" s="6" t="s">
        <v>180</v>
      </c>
      <c r="X174" s="5" t="s">
        <v>1013</v>
      </c>
      <c r="Y174" s="7"/>
    </row>
    <row r="175" spans="1:25" x14ac:dyDescent="0.25">
      <c r="A175" s="8">
        <v>53</v>
      </c>
      <c r="B175" s="8" t="s">
        <v>25</v>
      </c>
      <c r="C175" s="9">
        <v>535319</v>
      </c>
      <c r="D175" s="10" t="s">
        <v>1037</v>
      </c>
      <c r="E175" s="8">
        <v>5341</v>
      </c>
      <c r="F175" s="10" t="s">
        <v>1005</v>
      </c>
      <c r="G175" s="8" t="s">
        <v>226</v>
      </c>
      <c r="H175" s="10" t="s">
        <v>1043</v>
      </c>
      <c r="I175" s="10"/>
      <c r="J175" s="10" t="s">
        <v>1044</v>
      </c>
      <c r="K175" s="10" t="s">
        <v>1045</v>
      </c>
      <c r="L175" s="10" t="s">
        <v>78</v>
      </c>
      <c r="M175" s="10" t="s">
        <v>161</v>
      </c>
      <c r="N175" s="10" t="s">
        <v>162</v>
      </c>
      <c r="O175" s="10" t="s">
        <v>98</v>
      </c>
      <c r="P175" s="10" t="s">
        <v>39</v>
      </c>
      <c r="Q175" s="10" t="s">
        <v>1046</v>
      </c>
      <c r="R175" s="10" t="s">
        <v>100</v>
      </c>
      <c r="S175" s="10" t="s">
        <v>137</v>
      </c>
      <c r="T175" s="10" t="s">
        <v>1047</v>
      </c>
      <c r="U175" s="10">
        <v>5353</v>
      </c>
      <c r="V175" s="10" t="s">
        <v>118</v>
      </c>
      <c r="W175" s="11" t="s">
        <v>180</v>
      </c>
      <c r="X175" s="10" t="s">
        <v>1013</v>
      </c>
      <c r="Y175" s="12"/>
    </row>
    <row r="176" spans="1:25" x14ac:dyDescent="0.25">
      <c r="A176" s="3">
        <v>53</v>
      </c>
      <c r="B176" s="3" t="s">
        <v>25</v>
      </c>
      <c r="C176" s="4">
        <v>535380</v>
      </c>
      <c r="D176" s="5" t="s">
        <v>1048</v>
      </c>
      <c r="E176" s="3">
        <v>5341</v>
      </c>
      <c r="F176" s="5" t="s">
        <v>1005</v>
      </c>
      <c r="G176" s="3" t="s">
        <v>55</v>
      </c>
      <c r="H176" s="5" t="s">
        <v>1049</v>
      </c>
      <c r="I176" s="5"/>
      <c r="J176" s="5" t="s">
        <v>1050</v>
      </c>
      <c r="K176" s="5" t="s">
        <v>34</v>
      </c>
      <c r="L176" s="5" t="s">
        <v>78</v>
      </c>
      <c r="M176" s="5" t="s">
        <v>161</v>
      </c>
      <c r="N176" s="5" t="s">
        <v>162</v>
      </c>
      <c r="O176" s="5" t="s">
        <v>98</v>
      </c>
      <c r="P176" s="5" t="s">
        <v>61</v>
      </c>
      <c r="Q176" s="5" t="s">
        <v>40</v>
      </c>
      <c r="R176" s="5" t="s">
        <v>100</v>
      </c>
      <c r="S176" s="5" t="s">
        <v>421</v>
      </c>
      <c r="T176" s="5" t="s">
        <v>43</v>
      </c>
      <c r="U176" s="5">
        <v>5353</v>
      </c>
      <c r="V176" s="5" t="s">
        <v>118</v>
      </c>
      <c r="W176" s="6" t="s">
        <v>180</v>
      </c>
      <c r="X176" s="5" t="s">
        <v>1051</v>
      </c>
      <c r="Y176" s="7"/>
    </row>
    <row r="177" spans="1:25" x14ac:dyDescent="0.25">
      <c r="A177" s="8">
        <v>53</v>
      </c>
      <c r="B177" s="8" t="s">
        <v>25</v>
      </c>
      <c r="C177" s="9">
        <v>535320</v>
      </c>
      <c r="D177" s="10" t="s">
        <v>1052</v>
      </c>
      <c r="E177" s="8">
        <v>5342</v>
      </c>
      <c r="F177" s="10" t="s">
        <v>1053</v>
      </c>
      <c r="G177" s="8" t="s">
        <v>55</v>
      </c>
      <c r="H177" s="10" t="s">
        <v>1054</v>
      </c>
      <c r="I177" s="10"/>
      <c r="J177" s="10" t="s">
        <v>1055</v>
      </c>
      <c r="K177" s="10" t="s">
        <v>1056</v>
      </c>
      <c r="L177" s="10" t="s">
        <v>35</v>
      </c>
      <c r="M177" s="10" t="s">
        <v>230</v>
      </c>
      <c r="N177" s="10" t="s">
        <v>1057</v>
      </c>
      <c r="O177" s="10" t="s">
        <v>246</v>
      </c>
      <c r="P177" s="10" t="s">
        <v>39</v>
      </c>
      <c r="Q177" s="10" t="s">
        <v>1058</v>
      </c>
      <c r="R177" s="10" t="s">
        <v>41</v>
      </c>
      <c r="S177" s="10" t="s">
        <v>1059</v>
      </c>
      <c r="T177" s="10" t="s">
        <v>1060</v>
      </c>
      <c r="U177" s="10">
        <v>5353</v>
      </c>
      <c r="V177" s="10" t="s">
        <v>118</v>
      </c>
      <c r="W177" s="11" t="s">
        <v>565</v>
      </c>
      <c r="X177" s="10" t="s">
        <v>1061</v>
      </c>
      <c r="Y177" s="12"/>
    </row>
    <row r="178" spans="1:25" x14ac:dyDescent="0.25">
      <c r="A178" s="3">
        <v>53</v>
      </c>
      <c r="B178" s="3" t="s">
        <v>25</v>
      </c>
      <c r="C178" s="4">
        <v>535320</v>
      </c>
      <c r="D178" s="5" t="s">
        <v>1052</v>
      </c>
      <c r="E178" s="3">
        <v>5342</v>
      </c>
      <c r="F178" s="5" t="s">
        <v>1053</v>
      </c>
      <c r="G178" s="3" t="s">
        <v>55</v>
      </c>
      <c r="H178" s="5" t="s">
        <v>1062</v>
      </c>
      <c r="I178" s="5"/>
      <c r="J178" s="5" t="s">
        <v>1063</v>
      </c>
      <c r="K178" s="5" t="s">
        <v>1064</v>
      </c>
      <c r="L178" s="5" t="s">
        <v>78</v>
      </c>
      <c r="M178" s="5" t="s">
        <v>161</v>
      </c>
      <c r="N178" s="5" t="s">
        <v>162</v>
      </c>
      <c r="O178" s="5" t="s">
        <v>98</v>
      </c>
      <c r="P178" s="5" t="s">
        <v>39</v>
      </c>
      <c r="Q178" s="5" t="s">
        <v>440</v>
      </c>
      <c r="R178" s="5" t="s">
        <v>100</v>
      </c>
      <c r="S178" s="5" t="s">
        <v>1065</v>
      </c>
      <c r="T178" s="5" t="s">
        <v>43</v>
      </c>
      <c r="U178" s="5">
        <v>5353</v>
      </c>
      <c r="V178" s="5" t="s">
        <v>118</v>
      </c>
      <c r="W178" s="6" t="s">
        <v>565</v>
      </c>
      <c r="X178" s="5" t="s">
        <v>1061</v>
      </c>
      <c r="Y178" s="7"/>
    </row>
    <row r="179" spans="1:25" x14ac:dyDescent="0.25">
      <c r="A179" s="8">
        <v>53</v>
      </c>
      <c r="B179" s="8" t="s">
        <v>25</v>
      </c>
      <c r="C179" s="9">
        <v>535440</v>
      </c>
      <c r="D179" s="10" t="s">
        <v>1066</v>
      </c>
      <c r="E179" s="8">
        <v>5342</v>
      </c>
      <c r="F179" s="10" t="s">
        <v>1053</v>
      </c>
      <c r="G179" s="8" t="s">
        <v>55</v>
      </c>
      <c r="H179" s="10" t="s">
        <v>1067</v>
      </c>
      <c r="I179" s="10"/>
      <c r="J179" s="10" t="s">
        <v>1068</v>
      </c>
      <c r="K179" s="10" t="s">
        <v>1069</v>
      </c>
      <c r="L179" s="10" t="s">
        <v>78</v>
      </c>
      <c r="M179" s="10" t="s">
        <v>68</v>
      </c>
      <c r="N179" s="10" t="s">
        <v>69</v>
      </c>
      <c r="O179" s="10" t="s">
        <v>1070</v>
      </c>
      <c r="P179" s="10" t="s">
        <v>39</v>
      </c>
      <c r="Q179" s="10" t="s">
        <v>40</v>
      </c>
      <c r="R179" s="10" t="s">
        <v>41</v>
      </c>
      <c r="S179" s="10" t="s">
        <v>137</v>
      </c>
      <c r="T179" s="10" t="s">
        <v>43</v>
      </c>
      <c r="U179" s="10">
        <v>5353</v>
      </c>
      <c r="V179" s="10" t="s">
        <v>118</v>
      </c>
      <c r="W179" s="11" t="s">
        <v>565</v>
      </c>
      <c r="X179" s="10" t="s">
        <v>1071</v>
      </c>
      <c r="Y179" s="12"/>
    </row>
    <row r="180" spans="1:25" x14ac:dyDescent="0.25">
      <c r="A180" s="3">
        <v>53</v>
      </c>
      <c r="B180" s="3" t="s">
        <v>25</v>
      </c>
      <c r="C180" s="4">
        <v>535511</v>
      </c>
      <c r="D180" s="5" t="s">
        <v>1072</v>
      </c>
      <c r="E180" s="3">
        <v>5342</v>
      </c>
      <c r="F180" s="5" t="s">
        <v>1053</v>
      </c>
      <c r="G180" s="3" t="s">
        <v>55</v>
      </c>
      <c r="H180" s="5" t="s">
        <v>1073</v>
      </c>
      <c r="I180" s="5"/>
      <c r="J180" s="5" t="s">
        <v>1074</v>
      </c>
      <c r="K180" s="5" t="s">
        <v>1075</v>
      </c>
      <c r="L180" s="5" t="s">
        <v>78</v>
      </c>
      <c r="M180" s="5" t="s">
        <v>161</v>
      </c>
      <c r="N180" s="5" t="s">
        <v>162</v>
      </c>
      <c r="O180" s="5" t="s">
        <v>98</v>
      </c>
      <c r="P180" s="5" t="s">
        <v>39</v>
      </c>
      <c r="Q180" s="5" t="s">
        <v>40</v>
      </c>
      <c r="R180" s="5" t="s">
        <v>100</v>
      </c>
      <c r="S180" s="5" t="s">
        <v>42</v>
      </c>
      <c r="T180" s="5" t="s">
        <v>43</v>
      </c>
      <c r="U180" s="5">
        <v>5353</v>
      </c>
      <c r="V180" s="5" t="s">
        <v>118</v>
      </c>
      <c r="W180" s="6" t="s">
        <v>565</v>
      </c>
      <c r="X180" s="5" t="s">
        <v>1076</v>
      </c>
      <c r="Y180" s="7"/>
    </row>
    <row r="181" spans="1:25" x14ac:dyDescent="0.25">
      <c r="A181" s="8">
        <v>53</v>
      </c>
      <c r="B181" s="8" t="s">
        <v>25</v>
      </c>
      <c r="C181" s="9">
        <v>535470</v>
      </c>
      <c r="D181" s="10" t="s">
        <v>1077</v>
      </c>
      <c r="E181" s="8">
        <v>5372</v>
      </c>
      <c r="F181" s="10" t="s">
        <v>1077</v>
      </c>
      <c r="G181" s="8" t="s">
        <v>1078</v>
      </c>
      <c r="H181" s="10" t="s">
        <v>1079</v>
      </c>
      <c r="I181" s="10"/>
      <c r="J181" s="10" t="s">
        <v>1080</v>
      </c>
      <c r="K181" s="10" t="s">
        <v>1081</v>
      </c>
      <c r="L181" s="10" t="s">
        <v>35</v>
      </c>
      <c r="M181" s="10" t="s">
        <v>68</v>
      </c>
      <c r="N181" s="10" t="s">
        <v>69</v>
      </c>
      <c r="O181" s="10" t="s">
        <v>1082</v>
      </c>
      <c r="P181" s="10" t="s">
        <v>39</v>
      </c>
      <c r="Q181" s="10" t="s">
        <v>40</v>
      </c>
      <c r="R181" s="10" t="s">
        <v>41</v>
      </c>
      <c r="S181" s="10" t="s">
        <v>421</v>
      </c>
      <c r="T181" s="10" t="s">
        <v>43</v>
      </c>
      <c r="U181" s="10">
        <v>5353</v>
      </c>
      <c r="V181" s="10" t="s">
        <v>118</v>
      </c>
      <c r="W181" s="11" t="s">
        <v>565</v>
      </c>
      <c r="X181" s="10" t="s">
        <v>1013</v>
      </c>
      <c r="Y181" s="12"/>
    </row>
    <row r="182" spans="1:25" x14ac:dyDescent="0.25">
      <c r="A182" s="3">
        <v>53</v>
      </c>
      <c r="B182" s="3" t="s">
        <v>25</v>
      </c>
      <c r="C182" s="4">
        <v>535470</v>
      </c>
      <c r="D182" s="5" t="s">
        <v>1077</v>
      </c>
      <c r="E182" s="3">
        <v>5372</v>
      </c>
      <c r="F182" s="5" t="s">
        <v>1077</v>
      </c>
      <c r="G182" s="3" t="s">
        <v>1078</v>
      </c>
      <c r="H182" s="5" t="s">
        <v>1083</v>
      </c>
      <c r="I182" s="5"/>
      <c r="J182" s="5" t="s">
        <v>1084</v>
      </c>
      <c r="K182" s="5" t="s">
        <v>1085</v>
      </c>
      <c r="L182" s="5" t="s">
        <v>78</v>
      </c>
      <c r="M182" s="5" t="s">
        <v>68</v>
      </c>
      <c r="N182" s="5" t="s">
        <v>69</v>
      </c>
      <c r="O182" s="5" t="s">
        <v>1086</v>
      </c>
      <c r="P182" s="5" t="s">
        <v>61</v>
      </c>
      <c r="Q182" s="5" t="s">
        <v>40</v>
      </c>
      <c r="R182" s="5" t="s">
        <v>41</v>
      </c>
      <c r="S182" s="5" t="s">
        <v>137</v>
      </c>
      <c r="T182" s="5" t="s">
        <v>43</v>
      </c>
      <c r="U182" s="5">
        <v>5353</v>
      </c>
      <c r="V182" s="5" t="s">
        <v>118</v>
      </c>
      <c r="W182" s="6" t="s">
        <v>565</v>
      </c>
      <c r="X182" s="5" t="s">
        <v>1013</v>
      </c>
      <c r="Y182" s="7"/>
    </row>
    <row r="183" spans="1:25" x14ac:dyDescent="0.25">
      <c r="A183" s="8">
        <v>53</v>
      </c>
      <c r="B183" s="8" t="s">
        <v>25</v>
      </c>
      <c r="C183" s="9">
        <v>535470</v>
      </c>
      <c r="D183" s="10" t="s">
        <v>1077</v>
      </c>
      <c r="E183" s="8">
        <v>5372</v>
      </c>
      <c r="F183" s="10" t="s">
        <v>1077</v>
      </c>
      <c r="G183" s="8" t="s">
        <v>1078</v>
      </c>
      <c r="H183" s="10" t="s">
        <v>1087</v>
      </c>
      <c r="I183" s="10"/>
      <c r="J183" s="10" t="s">
        <v>1088</v>
      </c>
      <c r="K183" s="10" t="s">
        <v>1089</v>
      </c>
      <c r="L183" s="10" t="s">
        <v>35</v>
      </c>
      <c r="M183" s="10" t="s">
        <v>244</v>
      </c>
      <c r="N183" s="10" t="s">
        <v>1090</v>
      </c>
      <c r="O183" s="10" t="s">
        <v>246</v>
      </c>
      <c r="P183" s="10" t="s">
        <v>39</v>
      </c>
      <c r="Q183" s="10" t="s">
        <v>1091</v>
      </c>
      <c r="R183" s="10" t="s">
        <v>100</v>
      </c>
      <c r="S183" s="10" t="s">
        <v>1092</v>
      </c>
      <c r="T183" s="10" t="s">
        <v>43</v>
      </c>
      <c r="U183" s="10">
        <v>5353</v>
      </c>
      <c r="V183" s="10" t="s">
        <v>118</v>
      </c>
      <c r="W183" s="11" t="s">
        <v>565</v>
      </c>
      <c r="X183" s="10" t="s">
        <v>1013</v>
      </c>
      <c r="Y183" s="12"/>
    </row>
    <row r="184" spans="1:25" x14ac:dyDescent="0.25">
      <c r="A184" s="3">
        <v>53</v>
      </c>
      <c r="B184" s="3" t="s">
        <v>25</v>
      </c>
      <c r="C184" s="4">
        <v>535470</v>
      </c>
      <c r="D184" s="5" t="s">
        <v>1077</v>
      </c>
      <c r="E184" s="3">
        <v>5372</v>
      </c>
      <c r="F184" s="5" t="s">
        <v>1077</v>
      </c>
      <c r="G184" s="3" t="s">
        <v>1078</v>
      </c>
      <c r="H184" s="5" t="s">
        <v>1093</v>
      </c>
      <c r="I184" s="5"/>
      <c r="J184" s="5" t="s">
        <v>1094</v>
      </c>
      <c r="K184" s="5" t="s">
        <v>1095</v>
      </c>
      <c r="L184" s="5" t="s">
        <v>35</v>
      </c>
      <c r="M184" s="5" t="s">
        <v>68</v>
      </c>
      <c r="N184" s="5" t="s">
        <v>167</v>
      </c>
      <c r="O184" s="5" t="s">
        <v>1096</v>
      </c>
      <c r="P184" s="5" t="s">
        <v>39</v>
      </c>
      <c r="Q184" s="5" t="s">
        <v>190</v>
      </c>
      <c r="R184" s="5" t="s">
        <v>41</v>
      </c>
      <c r="S184" s="5" t="s">
        <v>421</v>
      </c>
      <c r="T184" s="5" t="s">
        <v>43</v>
      </c>
      <c r="U184" s="5">
        <v>5353</v>
      </c>
      <c r="V184" s="5" t="s">
        <v>118</v>
      </c>
      <c r="W184" s="6" t="s">
        <v>565</v>
      </c>
      <c r="X184" s="5" t="s">
        <v>1013</v>
      </c>
      <c r="Y184" s="7"/>
    </row>
    <row r="185" spans="1:25" x14ac:dyDescent="0.25">
      <c r="A185" s="8">
        <v>53</v>
      </c>
      <c r="B185" s="8" t="s">
        <v>25</v>
      </c>
      <c r="C185" s="9">
        <v>535470</v>
      </c>
      <c r="D185" s="10" t="s">
        <v>1077</v>
      </c>
      <c r="E185" s="8">
        <v>5372</v>
      </c>
      <c r="F185" s="10" t="s">
        <v>1077</v>
      </c>
      <c r="G185" s="8" t="s">
        <v>1078</v>
      </c>
      <c r="H185" s="10" t="s">
        <v>1097</v>
      </c>
      <c r="I185" s="10"/>
      <c r="J185" s="10" t="s">
        <v>1098</v>
      </c>
      <c r="K185" s="10" t="s">
        <v>1099</v>
      </c>
      <c r="L185" s="10" t="s">
        <v>78</v>
      </c>
      <c r="M185" s="10" t="s">
        <v>97</v>
      </c>
      <c r="N185" s="10" t="s">
        <v>97</v>
      </c>
      <c r="O185" s="10" t="s">
        <v>98</v>
      </c>
      <c r="P185" s="10" t="s">
        <v>199</v>
      </c>
      <c r="Q185" s="10" t="s">
        <v>247</v>
      </c>
      <c r="R185" s="10" t="s">
        <v>100</v>
      </c>
      <c r="S185" s="10" t="s">
        <v>137</v>
      </c>
      <c r="T185" s="10" t="s">
        <v>1100</v>
      </c>
      <c r="U185" s="10">
        <v>5353</v>
      </c>
      <c r="V185" s="10" t="s">
        <v>118</v>
      </c>
      <c r="W185" s="11" t="s">
        <v>565</v>
      </c>
      <c r="X185" s="10" t="s">
        <v>1013</v>
      </c>
      <c r="Y185" s="12"/>
    </row>
    <row r="186" spans="1:25" x14ac:dyDescent="0.25">
      <c r="A186" s="3">
        <v>53</v>
      </c>
      <c r="B186" s="3" t="s">
        <v>25</v>
      </c>
      <c r="C186" s="4">
        <v>535470</v>
      </c>
      <c r="D186" s="5" t="s">
        <v>1077</v>
      </c>
      <c r="E186" s="3">
        <v>5372</v>
      </c>
      <c r="F186" s="5" t="s">
        <v>1077</v>
      </c>
      <c r="G186" s="3" t="s">
        <v>1078</v>
      </c>
      <c r="H186" s="5" t="s">
        <v>1101</v>
      </c>
      <c r="I186" s="5"/>
      <c r="J186" s="5" t="s">
        <v>1102</v>
      </c>
      <c r="K186" s="5" t="s">
        <v>1103</v>
      </c>
      <c r="L186" s="5" t="s">
        <v>35</v>
      </c>
      <c r="M186" s="5" t="s">
        <v>36</v>
      </c>
      <c r="N186" s="5" t="s">
        <v>260</v>
      </c>
      <c r="O186" s="5" t="s">
        <v>38</v>
      </c>
      <c r="P186" s="5" t="s">
        <v>39</v>
      </c>
      <c r="Q186" s="5" t="s">
        <v>247</v>
      </c>
      <c r="R186" s="5" t="s">
        <v>100</v>
      </c>
      <c r="S186" s="5" t="s">
        <v>90</v>
      </c>
      <c r="T186" s="5" t="s">
        <v>1104</v>
      </c>
      <c r="U186" s="5">
        <v>5353</v>
      </c>
      <c r="V186" s="5" t="s">
        <v>118</v>
      </c>
      <c r="W186" s="6" t="s">
        <v>565</v>
      </c>
      <c r="X186" s="5" t="s">
        <v>1013</v>
      </c>
      <c r="Y186" s="7"/>
    </row>
    <row r="187" spans="1:25" x14ac:dyDescent="0.25">
      <c r="A187" s="8">
        <v>53</v>
      </c>
      <c r="B187" s="8" t="s">
        <v>25</v>
      </c>
      <c r="C187" s="9">
        <v>535360</v>
      </c>
      <c r="D187" s="10" t="s">
        <v>1105</v>
      </c>
      <c r="E187" s="8">
        <f>VLOOKUP(C187,'[1]Danh muc DPV để map DL'!$B$3:$N$209,6,FALSE)</f>
        <v>5372</v>
      </c>
      <c r="F187" s="10" t="str">
        <f>VLOOKUP(C187,'[1]Danh muc DPV để map DL'!$B$3:$N$209,7,FALSE)</f>
        <v>BCVH Hương Trà</v>
      </c>
      <c r="G187" s="8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>
        <v>5353</v>
      </c>
      <c r="V187" s="10" t="s">
        <v>118</v>
      </c>
      <c r="W187" s="11" t="s">
        <v>565</v>
      </c>
      <c r="X187" s="10" t="s">
        <v>1013</v>
      </c>
      <c r="Y187" s="12"/>
    </row>
    <row r="188" spans="1:25" x14ac:dyDescent="0.25">
      <c r="A188" s="3">
        <v>53</v>
      </c>
      <c r="B188" s="3" t="s">
        <v>25</v>
      </c>
      <c r="C188" s="4">
        <v>534940</v>
      </c>
      <c r="D188" s="5" t="s">
        <v>1106</v>
      </c>
      <c r="E188" s="3">
        <f>VLOOKUP(C188,'[1]Danh muc DPV để map DL'!$B$3:$N$209,6,FALSE)</f>
        <v>5372</v>
      </c>
      <c r="F188" s="5" t="str">
        <f>VLOOKUP(C188,'[1]Danh muc DPV để map DL'!$B$3:$N$209,7,FALSE)</f>
        <v>BCVH Hương Trà</v>
      </c>
      <c r="G188" s="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>
        <v>5349</v>
      </c>
      <c r="V188" s="5" t="s">
        <v>450</v>
      </c>
      <c r="W188" s="6" t="s">
        <v>565</v>
      </c>
      <c r="X188" s="5" t="s">
        <v>451</v>
      </c>
      <c r="Y188" s="7"/>
    </row>
    <row r="189" spans="1:25" x14ac:dyDescent="0.25">
      <c r="A189" s="8">
        <v>53</v>
      </c>
      <c r="B189" s="8" t="s">
        <v>25</v>
      </c>
      <c r="C189" s="9">
        <v>534630</v>
      </c>
      <c r="D189" s="10" t="s">
        <v>1107</v>
      </c>
      <c r="E189" s="8">
        <f>VLOOKUP(C189,'[1]Danh muc DPV để map DL'!$B$3:$N$209,6,FALSE)</f>
        <v>5372</v>
      </c>
      <c r="F189" s="10" t="str">
        <f>VLOOKUP(C189,'[1]Danh muc DPV để map DL'!$B$3:$N$209,7,FALSE)</f>
        <v>BCVH Hương Trà</v>
      </c>
      <c r="G189" s="8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>
        <v>5346</v>
      </c>
      <c r="V189" s="10" t="s">
        <v>118</v>
      </c>
      <c r="W189" s="11" t="s">
        <v>565</v>
      </c>
      <c r="X189" s="10" t="s">
        <v>1108</v>
      </c>
      <c r="Y189" s="12"/>
    </row>
    <row r="190" spans="1:25" x14ac:dyDescent="0.25">
      <c r="A190" s="3">
        <v>53</v>
      </c>
      <c r="B190" s="3" t="s">
        <v>25</v>
      </c>
      <c r="C190" s="4">
        <v>534908</v>
      </c>
      <c r="D190" s="5" t="s">
        <v>1109</v>
      </c>
      <c r="E190" s="3">
        <f>VLOOKUP(C190,'[1]Danh muc DPV để map DL'!$B$3:$N$209,6,FALSE)</f>
        <v>5372</v>
      </c>
      <c r="F190" s="5" t="str">
        <f>VLOOKUP(C190,'[1]Danh muc DPV để map DL'!$B$3:$N$209,7,FALSE)</f>
        <v>BCVH Hương Trà</v>
      </c>
      <c r="G190" s="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>
        <v>5349</v>
      </c>
      <c r="V190" s="5" t="s">
        <v>450</v>
      </c>
      <c r="W190" s="6">
        <v>5341</v>
      </c>
      <c r="X190" s="5" t="s">
        <v>1110</v>
      </c>
      <c r="Y190" s="7"/>
    </row>
    <row r="191" spans="1:25" x14ac:dyDescent="0.25">
      <c r="A191" s="8">
        <v>53</v>
      </c>
      <c r="B191" s="8" t="s">
        <v>25</v>
      </c>
      <c r="C191" s="9">
        <v>536250</v>
      </c>
      <c r="D191" s="10" t="s">
        <v>1111</v>
      </c>
      <c r="E191" s="8">
        <v>5373</v>
      </c>
      <c r="F191" s="10" t="s">
        <v>1111</v>
      </c>
      <c r="G191" s="8" t="s">
        <v>1078</v>
      </c>
      <c r="H191" s="10" t="s">
        <v>1112</v>
      </c>
      <c r="I191" s="10"/>
      <c r="J191" s="10" t="s">
        <v>1113</v>
      </c>
      <c r="K191" s="10" t="s">
        <v>1114</v>
      </c>
      <c r="L191" s="10" t="s">
        <v>78</v>
      </c>
      <c r="M191" s="10" t="s">
        <v>68</v>
      </c>
      <c r="N191" s="10" t="s">
        <v>69</v>
      </c>
      <c r="O191" s="10" t="s">
        <v>1115</v>
      </c>
      <c r="P191" s="10" t="s">
        <v>39</v>
      </c>
      <c r="Q191" s="10" t="s">
        <v>72</v>
      </c>
      <c r="R191" s="10" t="s">
        <v>100</v>
      </c>
      <c r="S191" s="10" t="s">
        <v>137</v>
      </c>
      <c r="T191" s="10" t="s">
        <v>43</v>
      </c>
      <c r="U191" s="10">
        <v>5361</v>
      </c>
      <c r="V191" s="10" t="s">
        <v>370</v>
      </c>
      <c r="W191" s="11" t="s">
        <v>371</v>
      </c>
      <c r="X191" s="10" t="s">
        <v>400</v>
      </c>
      <c r="Y191" s="12"/>
    </row>
    <row r="192" spans="1:25" x14ac:dyDescent="0.25">
      <c r="A192" s="3">
        <v>53</v>
      </c>
      <c r="B192" s="3" t="s">
        <v>25</v>
      </c>
      <c r="C192" s="4">
        <v>536250</v>
      </c>
      <c r="D192" s="5" t="s">
        <v>1111</v>
      </c>
      <c r="E192" s="3">
        <v>5373</v>
      </c>
      <c r="F192" s="5" t="s">
        <v>1111</v>
      </c>
      <c r="G192" s="3" t="s">
        <v>1078</v>
      </c>
      <c r="H192" s="5" t="s">
        <v>1116</v>
      </c>
      <c r="I192" s="5"/>
      <c r="J192" s="5" t="s">
        <v>1117</v>
      </c>
      <c r="K192" s="5" t="s">
        <v>1118</v>
      </c>
      <c r="L192" s="5" t="s">
        <v>78</v>
      </c>
      <c r="M192" s="5" t="s">
        <v>68</v>
      </c>
      <c r="N192" s="5" t="s">
        <v>69</v>
      </c>
      <c r="O192" s="5" t="s">
        <v>1119</v>
      </c>
      <c r="P192" s="5" t="s">
        <v>39</v>
      </c>
      <c r="Q192" s="5" t="s">
        <v>72</v>
      </c>
      <c r="R192" s="5" t="s">
        <v>100</v>
      </c>
      <c r="S192" s="5" t="s">
        <v>137</v>
      </c>
      <c r="T192" s="5" t="s">
        <v>43</v>
      </c>
      <c r="U192" s="5">
        <v>5361</v>
      </c>
      <c r="V192" s="5" t="s">
        <v>370</v>
      </c>
      <c r="W192" s="6" t="s">
        <v>371</v>
      </c>
      <c r="X192" s="5" t="s">
        <v>400</v>
      </c>
      <c r="Y192" s="7"/>
    </row>
    <row r="193" spans="1:25" x14ac:dyDescent="0.25">
      <c r="A193" s="8">
        <v>53</v>
      </c>
      <c r="B193" s="8" t="s">
        <v>25</v>
      </c>
      <c r="C193" s="9">
        <v>536250</v>
      </c>
      <c r="D193" s="10" t="s">
        <v>1111</v>
      </c>
      <c r="E193" s="8">
        <v>5373</v>
      </c>
      <c r="F193" s="10" t="s">
        <v>1111</v>
      </c>
      <c r="G193" s="8" t="s">
        <v>1078</v>
      </c>
      <c r="H193" s="10" t="s">
        <v>1120</v>
      </c>
      <c r="I193" s="10"/>
      <c r="J193" s="10" t="s">
        <v>1121</v>
      </c>
      <c r="K193" s="10" t="s">
        <v>1122</v>
      </c>
      <c r="L193" s="10" t="s">
        <v>78</v>
      </c>
      <c r="M193" s="10" t="s">
        <v>68</v>
      </c>
      <c r="N193" s="10" t="s">
        <v>79</v>
      </c>
      <c r="O193" s="10" t="s">
        <v>1123</v>
      </c>
      <c r="P193" s="10" t="s">
        <v>39</v>
      </c>
      <c r="Q193" s="10" t="s">
        <v>1124</v>
      </c>
      <c r="R193" s="10" t="s">
        <v>41</v>
      </c>
      <c r="S193" s="10" t="s">
        <v>82</v>
      </c>
      <c r="T193" s="10" t="s">
        <v>43</v>
      </c>
      <c r="U193" s="10">
        <v>5361</v>
      </c>
      <c r="V193" s="10" t="s">
        <v>370</v>
      </c>
      <c r="W193" s="11" t="s">
        <v>371</v>
      </c>
      <c r="X193" s="10" t="s">
        <v>400</v>
      </c>
      <c r="Y193" s="12"/>
    </row>
    <row r="194" spans="1:25" x14ac:dyDescent="0.25">
      <c r="A194" s="3">
        <v>53</v>
      </c>
      <c r="B194" s="3" t="s">
        <v>25</v>
      </c>
      <c r="C194" s="4">
        <v>536130</v>
      </c>
      <c r="D194" s="5" t="s">
        <v>1125</v>
      </c>
      <c r="E194" s="3">
        <f>VLOOKUP(C194,'[1]Danh muc DPV để map DL'!$B$3:$N$209,6,FALSE)</f>
        <v>5373</v>
      </c>
      <c r="F194" s="5" t="str">
        <f>VLOOKUP(C194,'[1]Danh muc DPV để map DL'!$B$3:$N$209,7,FALSE)</f>
        <v>BCVH Hương Thủy</v>
      </c>
      <c r="G194" s="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>
        <v>5361</v>
      </c>
      <c r="V194" s="5" t="s">
        <v>370</v>
      </c>
      <c r="W194" s="6" t="s">
        <v>371</v>
      </c>
      <c r="X194" s="5" t="s">
        <v>1126</v>
      </c>
      <c r="Y194" s="7"/>
    </row>
    <row r="195" spans="1:25" x14ac:dyDescent="0.25">
      <c r="A195" s="8">
        <v>53</v>
      </c>
      <c r="B195" s="8" t="s">
        <v>25</v>
      </c>
      <c r="C195" s="9">
        <v>536770</v>
      </c>
      <c r="D195" s="10" t="s">
        <v>1127</v>
      </c>
      <c r="E195" s="8">
        <f>VLOOKUP(C195,'[1]Danh muc DPV để map DL'!$B$3:$N$209,6,FALSE)</f>
        <v>5373</v>
      </c>
      <c r="F195" s="10" t="str">
        <f>VLOOKUP(C195,'[1]Danh muc DPV để map DL'!$B$3:$N$209,7,FALSE)</f>
        <v>BCVH Hương Thủy</v>
      </c>
      <c r="G195" s="8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>
        <v>5367</v>
      </c>
      <c r="V195" s="10" t="s">
        <v>83</v>
      </c>
      <c r="W195" s="11" t="s">
        <v>371</v>
      </c>
      <c r="X195" s="10" t="s">
        <v>676</v>
      </c>
      <c r="Y195" s="12"/>
    </row>
    <row r="196" spans="1:25" x14ac:dyDescent="0.25">
      <c r="A196" s="3">
        <v>53</v>
      </c>
      <c r="B196" s="3" t="s">
        <v>25</v>
      </c>
      <c r="C196" s="4">
        <v>536328</v>
      </c>
      <c r="D196" s="5" t="s">
        <v>1128</v>
      </c>
      <c r="E196" s="3">
        <f>VLOOKUP(C196,'[1]Danh muc DPV để map DL'!$B$3:$N$209,6,FALSE)</f>
        <v>5373</v>
      </c>
      <c r="F196" s="5" t="str">
        <f>VLOOKUP(C196,'[1]Danh muc DPV để map DL'!$B$3:$N$209,7,FALSE)</f>
        <v>BCVH Hương Thủy</v>
      </c>
      <c r="G196" s="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>
        <v>5361</v>
      </c>
      <c r="V196" s="5" t="s">
        <v>370</v>
      </c>
      <c r="W196" s="6"/>
      <c r="X196" s="5" t="s">
        <v>1129</v>
      </c>
      <c r="Y196" s="7"/>
    </row>
    <row r="197" spans="1:25" x14ac:dyDescent="0.25">
      <c r="A197" s="8">
        <v>53</v>
      </c>
      <c r="B197" s="8" t="s">
        <v>25</v>
      </c>
      <c r="C197" s="9">
        <v>536840</v>
      </c>
      <c r="D197" s="10" t="s">
        <v>1130</v>
      </c>
      <c r="E197" s="8">
        <f>VLOOKUP(C197,'[1]Danh muc DPV để map DL'!$B$3:$N$209,6,FALSE)</f>
        <v>5373</v>
      </c>
      <c r="F197" s="10" t="str">
        <f>VLOOKUP(C197,'[1]Danh muc DPV để map DL'!$B$3:$N$209,7,FALSE)</f>
        <v>BCVH Hương Thủy</v>
      </c>
      <c r="G197" s="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>
        <v>5367</v>
      </c>
      <c r="V197" s="10" t="s">
        <v>83</v>
      </c>
      <c r="W197" s="11"/>
      <c r="X197" s="10" t="s">
        <v>676</v>
      </c>
      <c r="Y197" s="12">
        <v>1</v>
      </c>
    </row>
    <row r="198" spans="1:25" x14ac:dyDescent="0.25">
      <c r="A198" s="3">
        <v>53</v>
      </c>
      <c r="B198" s="3" t="s">
        <v>25</v>
      </c>
      <c r="C198" s="4">
        <v>537015</v>
      </c>
      <c r="D198" s="5" t="s">
        <v>1131</v>
      </c>
      <c r="E198" s="3">
        <v>5374</v>
      </c>
      <c r="F198" s="5" t="s">
        <v>1131</v>
      </c>
      <c r="G198" s="3" t="s">
        <v>1078</v>
      </c>
      <c r="H198" s="5" t="s">
        <v>1132</v>
      </c>
      <c r="I198" s="5"/>
      <c r="J198" s="5" t="s">
        <v>1133</v>
      </c>
      <c r="K198" s="5" t="s">
        <v>1134</v>
      </c>
      <c r="L198" s="5" t="s">
        <v>78</v>
      </c>
      <c r="M198" s="5" t="s">
        <v>68</v>
      </c>
      <c r="N198" s="5" t="s">
        <v>167</v>
      </c>
      <c r="O198" s="5" t="s">
        <v>1135</v>
      </c>
      <c r="P198" s="5" t="s">
        <v>39</v>
      </c>
      <c r="Q198" s="5" t="s">
        <v>190</v>
      </c>
      <c r="R198" s="5" t="s">
        <v>1136</v>
      </c>
      <c r="S198" s="5" t="s">
        <v>42</v>
      </c>
      <c r="T198" s="5" t="s">
        <v>43</v>
      </c>
      <c r="U198" s="5">
        <v>5311</v>
      </c>
      <c r="V198" s="5" t="s">
        <v>1137</v>
      </c>
      <c r="W198" s="6">
        <v>5304</v>
      </c>
      <c r="X198" s="5" t="s">
        <v>130</v>
      </c>
      <c r="Y198" s="7"/>
    </row>
    <row r="199" spans="1:25" x14ac:dyDescent="0.25">
      <c r="A199" s="8">
        <v>53</v>
      </c>
      <c r="B199" s="8" t="s">
        <v>25</v>
      </c>
      <c r="C199" s="9">
        <v>531120</v>
      </c>
      <c r="D199" s="10" t="s">
        <v>1138</v>
      </c>
      <c r="E199" s="8">
        <v>5375</v>
      </c>
      <c r="F199" s="10" t="s">
        <v>1139</v>
      </c>
      <c r="G199" s="8" t="s">
        <v>31</v>
      </c>
      <c r="H199" s="10" t="s">
        <v>1140</v>
      </c>
      <c r="I199" s="10"/>
      <c r="J199" s="10" t="s">
        <v>1141</v>
      </c>
      <c r="K199" s="10" t="s">
        <v>1142</v>
      </c>
      <c r="L199" s="10" t="s">
        <v>35</v>
      </c>
      <c r="M199" s="10" t="s">
        <v>68</v>
      </c>
      <c r="N199" s="10" t="s">
        <v>177</v>
      </c>
      <c r="O199" s="10" t="s">
        <v>1143</v>
      </c>
      <c r="P199" s="10" t="s">
        <v>199</v>
      </c>
      <c r="Q199" s="10" t="s">
        <v>179</v>
      </c>
      <c r="R199" s="10" t="s">
        <v>41</v>
      </c>
      <c r="S199" s="10" t="s">
        <v>90</v>
      </c>
      <c r="T199" s="10" t="s">
        <v>1144</v>
      </c>
      <c r="U199" s="10">
        <v>5310</v>
      </c>
      <c r="V199" s="10" t="s">
        <v>27</v>
      </c>
      <c r="W199" s="11" t="s">
        <v>44</v>
      </c>
      <c r="X199" s="10" t="s">
        <v>234</v>
      </c>
      <c r="Y199" s="12"/>
    </row>
    <row r="200" spans="1:25" x14ac:dyDescent="0.25">
      <c r="A200" s="3">
        <v>53</v>
      </c>
      <c r="B200" s="3" t="s">
        <v>25</v>
      </c>
      <c r="C200" s="4">
        <v>531120</v>
      </c>
      <c r="D200" s="5" t="s">
        <v>1138</v>
      </c>
      <c r="E200" s="3">
        <v>5375</v>
      </c>
      <c r="F200" s="5" t="s">
        <v>1139</v>
      </c>
      <c r="G200" s="3" t="s">
        <v>31</v>
      </c>
      <c r="H200" s="5" t="s">
        <v>1145</v>
      </c>
      <c r="I200" s="5"/>
      <c r="J200" s="5" t="s">
        <v>1146</v>
      </c>
      <c r="K200" s="5" t="s">
        <v>1147</v>
      </c>
      <c r="L200" s="5" t="s">
        <v>35</v>
      </c>
      <c r="M200" s="5" t="s">
        <v>161</v>
      </c>
      <c r="N200" s="5" t="s">
        <v>162</v>
      </c>
      <c r="O200" s="5" t="s">
        <v>98</v>
      </c>
      <c r="P200" s="5" t="s">
        <v>199</v>
      </c>
      <c r="Q200" s="5" t="s">
        <v>99</v>
      </c>
      <c r="R200" s="5" t="s">
        <v>100</v>
      </c>
      <c r="S200" s="5" t="s">
        <v>42</v>
      </c>
      <c r="T200" s="5" t="s">
        <v>43</v>
      </c>
      <c r="U200" s="5">
        <v>5310</v>
      </c>
      <c r="V200" s="5" t="s">
        <v>27</v>
      </c>
      <c r="W200" s="6" t="s">
        <v>44</v>
      </c>
      <c r="X200" s="5" t="s">
        <v>234</v>
      </c>
      <c r="Y200" s="7"/>
    </row>
    <row r="201" spans="1:25" x14ac:dyDescent="0.25">
      <c r="A201" s="8">
        <v>53</v>
      </c>
      <c r="B201" s="8" t="s">
        <v>25</v>
      </c>
      <c r="C201" s="9">
        <v>531120</v>
      </c>
      <c r="D201" s="10" t="s">
        <v>1138</v>
      </c>
      <c r="E201" s="8">
        <v>5375</v>
      </c>
      <c r="F201" s="10" t="s">
        <v>1139</v>
      </c>
      <c r="G201" s="8" t="s">
        <v>31</v>
      </c>
      <c r="H201" s="10" t="s">
        <v>1148</v>
      </c>
      <c r="I201" s="10"/>
      <c r="J201" s="10" t="s">
        <v>1149</v>
      </c>
      <c r="K201" s="10" t="s">
        <v>1150</v>
      </c>
      <c r="L201" s="10" t="s">
        <v>78</v>
      </c>
      <c r="M201" s="10" t="s">
        <v>68</v>
      </c>
      <c r="N201" s="10" t="s">
        <v>167</v>
      </c>
      <c r="O201" s="10" t="s">
        <v>1151</v>
      </c>
      <c r="P201" s="10" t="s">
        <v>39</v>
      </c>
      <c r="Q201" s="10" t="s">
        <v>169</v>
      </c>
      <c r="R201" s="10" t="s">
        <v>100</v>
      </c>
      <c r="S201" s="10" t="s">
        <v>90</v>
      </c>
      <c r="T201" s="10" t="s">
        <v>1152</v>
      </c>
      <c r="U201" s="10">
        <v>5310</v>
      </c>
      <c r="V201" s="10" t="s">
        <v>27</v>
      </c>
      <c r="W201" s="11" t="s">
        <v>44</v>
      </c>
      <c r="X201" s="10" t="s">
        <v>234</v>
      </c>
      <c r="Y201" s="12"/>
    </row>
    <row r="202" spans="1:25" x14ac:dyDescent="0.25">
      <c r="A202" s="3">
        <v>53</v>
      </c>
      <c r="B202" s="3" t="s">
        <v>25</v>
      </c>
      <c r="C202" s="4">
        <v>531120</v>
      </c>
      <c r="D202" s="5" t="s">
        <v>1138</v>
      </c>
      <c r="E202" s="3">
        <v>5375</v>
      </c>
      <c r="F202" s="5" t="s">
        <v>1139</v>
      </c>
      <c r="G202" s="3" t="s">
        <v>31</v>
      </c>
      <c r="H202" s="5" t="s">
        <v>1153</v>
      </c>
      <c r="I202" s="5"/>
      <c r="J202" s="5" t="s">
        <v>1154</v>
      </c>
      <c r="K202" s="5" t="s">
        <v>1155</v>
      </c>
      <c r="L202" s="5" t="s">
        <v>35</v>
      </c>
      <c r="M202" s="5" t="s">
        <v>161</v>
      </c>
      <c r="N202" s="5" t="s">
        <v>162</v>
      </c>
      <c r="O202" s="5" t="s">
        <v>98</v>
      </c>
      <c r="P202" s="5" t="s">
        <v>61</v>
      </c>
      <c r="Q202" s="5" t="s">
        <v>99</v>
      </c>
      <c r="R202" s="5" t="s">
        <v>41</v>
      </c>
      <c r="S202" s="5" t="s">
        <v>82</v>
      </c>
      <c r="T202" s="5" t="s">
        <v>273</v>
      </c>
      <c r="U202" s="5">
        <v>5310</v>
      </c>
      <c r="V202" s="5" t="s">
        <v>27</v>
      </c>
      <c r="W202" s="6" t="s">
        <v>44</v>
      </c>
      <c r="X202" s="5" t="s">
        <v>234</v>
      </c>
      <c r="Y202" s="7"/>
    </row>
    <row r="203" spans="1:25" x14ac:dyDescent="0.25">
      <c r="A203" s="8">
        <v>53</v>
      </c>
      <c r="B203" s="8" t="s">
        <v>25</v>
      </c>
      <c r="C203" s="9">
        <v>531120</v>
      </c>
      <c r="D203" s="10" t="s">
        <v>1138</v>
      </c>
      <c r="E203" s="8">
        <v>5375</v>
      </c>
      <c r="F203" s="10" t="s">
        <v>1139</v>
      </c>
      <c r="G203" s="8" t="s">
        <v>31</v>
      </c>
      <c r="H203" s="10" t="s">
        <v>1156</v>
      </c>
      <c r="I203" s="10"/>
      <c r="J203" s="10" t="s">
        <v>1157</v>
      </c>
      <c r="K203" s="10" t="s">
        <v>1158</v>
      </c>
      <c r="L203" s="10" t="s">
        <v>78</v>
      </c>
      <c r="M203" s="10" t="s">
        <v>36</v>
      </c>
      <c r="N203" s="10" t="s">
        <v>37</v>
      </c>
      <c r="O203" s="10" t="s">
        <v>38</v>
      </c>
      <c r="P203" s="10" t="s">
        <v>199</v>
      </c>
      <c r="Q203" s="10" t="s">
        <v>298</v>
      </c>
      <c r="R203" s="10" t="s">
        <v>41</v>
      </c>
      <c r="S203" s="10" t="s">
        <v>137</v>
      </c>
      <c r="T203" s="10" t="s">
        <v>43</v>
      </c>
      <c r="U203" s="10">
        <v>5310</v>
      </c>
      <c r="V203" s="10" t="s">
        <v>27</v>
      </c>
      <c r="W203" s="11" t="s">
        <v>44</v>
      </c>
      <c r="X203" s="10" t="s">
        <v>234</v>
      </c>
      <c r="Y203" s="12"/>
    </row>
    <row r="204" spans="1:25" x14ac:dyDescent="0.25">
      <c r="A204" s="3">
        <v>53</v>
      </c>
      <c r="B204" s="3" t="s">
        <v>25</v>
      </c>
      <c r="C204" s="4">
        <v>531120</v>
      </c>
      <c r="D204" s="5" t="s">
        <v>1138</v>
      </c>
      <c r="E204" s="3">
        <v>5375</v>
      </c>
      <c r="F204" s="5" t="s">
        <v>1139</v>
      </c>
      <c r="G204" s="3" t="s">
        <v>31</v>
      </c>
      <c r="H204" s="5" t="s">
        <v>1159</v>
      </c>
      <c r="I204" s="5"/>
      <c r="J204" s="5" t="s">
        <v>1160</v>
      </c>
      <c r="K204" s="5" t="s">
        <v>1161</v>
      </c>
      <c r="L204" s="5" t="s">
        <v>78</v>
      </c>
      <c r="M204" s="5" t="s">
        <v>161</v>
      </c>
      <c r="N204" s="5" t="s">
        <v>162</v>
      </c>
      <c r="O204" s="5" t="s">
        <v>98</v>
      </c>
      <c r="P204" s="5" t="s">
        <v>107</v>
      </c>
      <c r="Q204" s="5" t="s">
        <v>99</v>
      </c>
      <c r="R204" s="5" t="s">
        <v>41</v>
      </c>
      <c r="S204" s="5" t="s">
        <v>52</v>
      </c>
      <c r="T204" s="5" t="s">
        <v>1161</v>
      </c>
      <c r="U204" s="5">
        <v>5310</v>
      </c>
      <c r="V204" s="5" t="s">
        <v>27</v>
      </c>
      <c r="W204" s="6" t="s">
        <v>44</v>
      </c>
      <c r="X204" s="5" t="s">
        <v>234</v>
      </c>
      <c r="Y204" s="7"/>
    </row>
    <row r="205" spans="1:25" x14ac:dyDescent="0.25">
      <c r="A205" s="8">
        <v>53</v>
      </c>
      <c r="B205" s="8" t="s">
        <v>25</v>
      </c>
      <c r="C205" s="9">
        <v>531120</v>
      </c>
      <c r="D205" s="10" t="s">
        <v>1138</v>
      </c>
      <c r="E205" s="8">
        <v>5375</v>
      </c>
      <c r="F205" s="10" t="s">
        <v>1139</v>
      </c>
      <c r="G205" s="8" t="s">
        <v>31</v>
      </c>
      <c r="H205" s="10" t="s">
        <v>1162</v>
      </c>
      <c r="I205" s="10"/>
      <c r="J205" s="10" t="s">
        <v>1163</v>
      </c>
      <c r="K205" s="10" t="s">
        <v>1164</v>
      </c>
      <c r="L205" s="10" t="s">
        <v>78</v>
      </c>
      <c r="M205" s="10" t="s">
        <v>161</v>
      </c>
      <c r="N205" s="10" t="s">
        <v>162</v>
      </c>
      <c r="O205" s="10" t="s">
        <v>98</v>
      </c>
      <c r="P205" s="10" t="s">
        <v>39</v>
      </c>
      <c r="Q205" s="10" t="s">
        <v>99</v>
      </c>
      <c r="R205" s="10" t="s">
        <v>732</v>
      </c>
      <c r="S205" s="10" t="s">
        <v>82</v>
      </c>
      <c r="T205" s="10" t="s">
        <v>43</v>
      </c>
      <c r="U205" s="10">
        <v>5310</v>
      </c>
      <c r="V205" s="10" t="s">
        <v>27</v>
      </c>
      <c r="W205" s="11" t="s">
        <v>44</v>
      </c>
      <c r="X205" s="10" t="s">
        <v>234</v>
      </c>
      <c r="Y205" s="12"/>
    </row>
    <row r="206" spans="1:25" x14ac:dyDescent="0.25">
      <c r="A206" s="3">
        <v>53</v>
      </c>
      <c r="B206" s="3" t="s">
        <v>25</v>
      </c>
      <c r="C206" s="4">
        <v>531120</v>
      </c>
      <c r="D206" s="5" t="s">
        <v>1138</v>
      </c>
      <c r="E206" s="3">
        <v>5375</v>
      </c>
      <c r="F206" s="5" t="s">
        <v>1139</v>
      </c>
      <c r="G206" s="3" t="s">
        <v>31</v>
      </c>
      <c r="H206" s="5" t="s">
        <v>1165</v>
      </c>
      <c r="I206" s="5"/>
      <c r="J206" s="5" t="s">
        <v>1166</v>
      </c>
      <c r="K206" s="5" t="s">
        <v>1167</v>
      </c>
      <c r="L206" s="5" t="s">
        <v>78</v>
      </c>
      <c r="M206" s="5" t="s">
        <v>68</v>
      </c>
      <c r="N206" s="5" t="s">
        <v>177</v>
      </c>
      <c r="O206" s="5" t="s">
        <v>1168</v>
      </c>
      <c r="P206" s="5" t="s">
        <v>39</v>
      </c>
      <c r="Q206" s="5" t="s">
        <v>179</v>
      </c>
      <c r="R206" s="5" t="s">
        <v>41</v>
      </c>
      <c r="S206" s="5" t="s">
        <v>137</v>
      </c>
      <c r="T206" s="5" t="s">
        <v>43</v>
      </c>
      <c r="U206" s="5">
        <v>5310</v>
      </c>
      <c r="V206" s="5" t="s">
        <v>27</v>
      </c>
      <c r="W206" s="6" t="s">
        <v>44</v>
      </c>
      <c r="X206" s="5" t="s">
        <v>234</v>
      </c>
      <c r="Y206" s="7"/>
    </row>
    <row r="207" spans="1:25" x14ac:dyDescent="0.25">
      <c r="A207" s="8">
        <v>53</v>
      </c>
      <c r="B207" s="8" t="s">
        <v>25</v>
      </c>
      <c r="C207" s="9">
        <v>531120</v>
      </c>
      <c r="D207" s="10" t="s">
        <v>1138</v>
      </c>
      <c r="E207" s="8">
        <v>5375</v>
      </c>
      <c r="F207" s="10" t="s">
        <v>1139</v>
      </c>
      <c r="G207" s="8" t="s">
        <v>31</v>
      </c>
      <c r="H207" s="10" t="s">
        <v>1169</v>
      </c>
      <c r="I207" s="10"/>
      <c r="J207" s="10" t="s">
        <v>1170</v>
      </c>
      <c r="K207" s="10" t="s">
        <v>1171</v>
      </c>
      <c r="L207" s="10" t="s">
        <v>78</v>
      </c>
      <c r="M207" s="10" t="s">
        <v>244</v>
      </c>
      <c r="N207" s="10" t="s">
        <v>245</v>
      </c>
      <c r="O207" s="10" t="s">
        <v>246</v>
      </c>
      <c r="P207" s="10" t="s">
        <v>199</v>
      </c>
      <c r="Q207" s="10" t="s">
        <v>247</v>
      </c>
      <c r="R207" s="10" t="s">
        <v>100</v>
      </c>
      <c r="S207" s="10" t="s">
        <v>52</v>
      </c>
      <c r="T207" s="10" t="s">
        <v>43</v>
      </c>
      <c r="U207" s="10">
        <v>5310</v>
      </c>
      <c r="V207" s="10" t="s">
        <v>27</v>
      </c>
      <c r="W207" s="11" t="s">
        <v>44</v>
      </c>
      <c r="X207" s="10" t="s">
        <v>234</v>
      </c>
      <c r="Y207" s="12"/>
    </row>
    <row r="208" spans="1:25" x14ac:dyDescent="0.25">
      <c r="A208" s="3">
        <v>53</v>
      </c>
      <c r="B208" s="3" t="s">
        <v>25</v>
      </c>
      <c r="C208" s="4">
        <v>531120</v>
      </c>
      <c r="D208" s="5" t="s">
        <v>1138</v>
      </c>
      <c r="E208" s="3">
        <v>5375</v>
      </c>
      <c r="F208" s="5" t="s">
        <v>1139</v>
      </c>
      <c r="G208" s="3" t="s">
        <v>31</v>
      </c>
      <c r="H208" s="5" t="s">
        <v>1172</v>
      </c>
      <c r="I208" s="5"/>
      <c r="J208" s="5" t="s">
        <v>1173</v>
      </c>
      <c r="K208" s="5" t="s">
        <v>1174</v>
      </c>
      <c r="L208" s="5" t="s">
        <v>35</v>
      </c>
      <c r="M208" s="5" t="s">
        <v>244</v>
      </c>
      <c r="N208" s="5" t="s">
        <v>1175</v>
      </c>
      <c r="O208" s="5" t="s">
        <v>246</v>
      </c>
      <c r="P208" s="5" t="s">
        <v>39</v>
      </c>
      <c r="Q208" s="5" t="s">
        <v>1176</v>
      </c>
      <c r="R208" s="5" t="s">
        <v>100</v>
      </c>
      <c r="S208" s="5" t="s">
        <v>90</v>
      </c>
      <c r="T208" s="5" t="s">
        <v>43</v>
      </c>
      <c r="U208" s="5">
        <v>5310</v>
      </c>
      <c r="V208" s="5" t="s">
        <v>27</v>
      </c>
      <c r="W208" s="6" t="s">
        <v>44</v>
      </c>
      <c r="X208" s="5" t="s">
        <v>234</v>
      </c>
      <c r="Y208" s="7"/>
    </row>
    <row r="209" spans="1:25" x14ac:dyDescent="0.25">
      <c r="A209" s="8">
        <v>53</v>
      </c>
      <c r="B209" s="8" t="s">
        <v>25</v>
      </c>
      <c r="C209" s="9">
        <v>531120</v>
      </c>
      <c r="D209" s="10" t="s">
        <v>1138</v>
      </c>
      <c r="E209" s="8">
        <v>5375</v>
      </c>
      <c r="F209" s="10" t="s">
        <v>1139</v>
      </c>
      <c r="G209" s="8" t="s">
        <v>31</v>
      </c>
      <c r="H209" s="10" t="s">
        <v>1177</v>
      </c>
      <c r="I209" s="10"/>
      <c r="J209" s="10" t="s">
        <v>1178</v>
      </c>
      <c r="K209" s="10" t="s">
        <v>1179</v>
      </c>
      <c r="L209" s="10" t="s">
        <v>78</v>
      </c>
      <c r="M209" s="10" t="s">
        <v>36</v>
      </c>
      <c r="N209" s="10" t="s">
        <v>1180</v>
      </c>
      <c r="O209" s="10" t="s">
        <v>232</v>
      </c>
      <c r="P209" s="10" t="s">
        <v>199</v>
      </c>
      <c r="Q209" s="10" t="s">
        <v>1181</v>
      </c>
      <c r="R209" s="10" t="s">
        <v>41</v>
      </c>
      <c r="S209" s="10" t="s">
        <v>82</v>
      </c>
      <c r="T209" s="10" t="s">
        <v>43</v>
      </c>
      <c r="U209" s="10">
        <v>5310</v>
      </c>
      <c r="V209" s="10" t="s">
        <v>27</v>
      </c>
      <c r="W209" s="11" t="s">
        <v>44</v>
      </c>
      <c r="X209" s="10" t="s">
        <v>234</v>
      </c>
      <c r="Y209" s="12"/>
    </row>
    <row r="210" spans="1:25" x14ac:dyDescent="0.25">
      <c r="A210" s="3">
        <v>53</v>
      </c>
      <c r="B210" s="3" t="s">
        <v>25</v>
      </c>
      <c r="C210" s="4">
        <v>532220</v>
      </c>
      <c r="D210" s="5" t="s">
        <v>1182</v>
      </c>
      <c r="E210" s="3">
        <v>5375</v>
      </c>
      <c r="F210" s="5" t="s">
        <v>1139</v>
      </c>
      <c r="G210" s="3" t="s">
        <v>1078</v>
      </c>
      <c r="H210" s="5" t="s">
        <v>1183</v>
      </c>
      <c r="I210" s="5"/>
      <c r="J210" s="5" t="s">
        <v>1184</v>
      </c>
      <c r="K210" s="5" t="s">
        <v>1185</v>
      </c>
      <c r="L210" s="5" t="s">
        <v>78</v>
      </c>
      <c r="M210" s="5" t="s">
        <v>97</v>
      </c>
      <c r="N210" s="5" t="s">
        <v>97</v>
      </c>
      <c r="O210" s="5" t="s">
        <v>98</v>
      </c>
      <c r="P210" s="5" t="s">
        <v>199</v>
      </c>
      <c r="Q210" s="5" t="s">
        <v>1181</v>
      </c>
      <c r="R210" s="5" t="s">
        <v>100</v>
      </c>
      <c r="S210" s="5" t="s">
        <v>486</v>
      </c>
      <c r="T210" s="5" t="s">
        <v>43</v>
      </c>
      <c r="U210" s="5">
        <v>5311</v>
      </c>
      <c r="V210" s="5" t="s">
        <v>1137</v>
      </c>
      <c r="W210" s="6" t="s">
        <v>44</v>
      </c>
      <c r="X210" s="5" t="s">
        <v>234</v>
      </c>
      <c r="Y210" s="7"/>
    </row>
    <row r="211" spans="1:25" x14ac:dyDescent="0.25">
      <c r="A211" s="8">
        <v>53</v>
      </c>
      <c r="B211" s="8" t="s">
        <v>25</v>
      </c>
      <c r="C211" s="9">
        <v>533140</v>
      </c>
      <c r="D211" s="10" t="s">
        <v>1139</v>
      </c>
      <c r="E211" s="8">
        <v>5375</v>
      </c>
      <c r="F211" s="10" t="s">
        <v>1139</v>
      </c>
      <c r="G211" s="8" t="s">
        <v>1186</v>
      </c>
      <c r="H211" s="10" t="s">
        <v>1187</v>
      </c>
      <c r="I211" s="10"/>
      <c r="J211" s="10" t="s">
        <v>1188</v>
      </c>
      <c r="K211" s="10" t="s">
        <v>1189</v>
      </c>
      <c r="L211" s="10" t="s">
        <v>78</v>
      </c>
      <c r="M211" s="10" t="s">
        <v>68</v>
      </c>
      <c r="N211" s="10" t="s">
        <v>167</v>
      </c>
      <c r="O211" s="10" t="s">
        <v>1190</v>
      </c>
      <c r="P211" s="10" t="s">
        <v>199</v>
      </c>
      <c r="Q211" s="10" t="s">
        <v>190</v>
      </c>
      <c r="R211" s="10" t="s">
        <v>1136</v>
      </c>
      <c r="S211" s="10" t="s">
        <v>42</v>
      </c>
      <c r="T211" s="10" t="s">
        <v>43</v>
      </c>
      <c r="U211" s="10">
        <v>5311</v>
      </c>
      <c r="V211" s="10" t="s">
        <v>1137</v>
      </c>
      <c r="W211" s="11" t="s">
        <v>44</v>
      </c>
      <c r="X211" s="10" t="s">
        <v>181</v>
      </c>
      <c r="Y211" s="12"/>
    </row>
    <row r="212" spans="1:25" x14ac:dyDescent="0.25">
      <c r="A212" s="3">
        <v>53</v>
      </c>
      <c r="B212" s="3" t="s">
        <v>25</v>
      </c>
      <c r="C212" s="4">
        <v>533140</v>
      </c>
      <c r="D212" s="5" t="s">
        <v>1139</v>
      </c>
      <c r="E212" s="3">
        <v>5375</v>
      </c>
      <c r="F212" s="5" t="s">
        <v>1139</v>
      </c>
      <c r="G212" s="3" t="s">
        <v>1186</v>
      </c>
      <c r="H212" s="5" t="s">
        <v>1191</v>
      </c>
      <c r="I212" s="5"/>
      <c r="J212" s="5" t="s">
        <v>1192</v>
      </c>
      <c r="K212" s="5" t="s">
        <v>1193</v>
      </c>
      <c r="L212" s="5" t="s">
        <v>78</v>
      </c>
      <c r="M212" s="5" t="s">
        <v>36</v>
      </c>
      <c r="N212" s="5" t="s">
        <v>260</v>
      </c>
      <c r="O212" s="5" t="s">
        <v>38</v>
      </c>
      <c r="P212" s="5" t="s">
        <v>39</v>
      </c>
      <c r="Q212" s="5" t="s">
        <v>298</v>
      </c>
      <c r="R212" s="5" t="s">
        <v>100</v>
      </c>
      <c r="S212" s="5" t="s">
        <v>90</v>
      </c>
      <c r="T212" s="5" t="s">
        <v>1194</v>
      </c>
      <c r="U212" s="5">
        <v>5311</v>
      </c>
      <c r="V212" s="5" t="s">
        <v>1137</v>
      </c>
      <c r="W212" s="6" t="s">
        <v>44</v>
      </c>
      <c r="X212" s="5" t="s">
        <v>181</v>
      </c>
      <c r="Y212" s="7"/>
    </row>
    <row r="213" spans="1:25" x14ac:dyDescent="0.25">
      <c r="A213" s="8">
        <v>53</v>
      </c>
      <c r="B213" s="8" t="s">
        <v>25</v>
      </c>
      <c r="C213" s="9">
        <v>533140</v>
      </c>
      <c r="D213" s="10" t="s">
        <v>1139</v>
      </c>
      <c r="E213" s="8">
        <v>5375</v>
      </c>
      <c r="F213" s="10" t="s">
        <v>1139</v>
      </c>
      <c r="G213" s="8" t="s">
        <v>1186</v>
      </c>
      <c r="H213" s="10" t="s">
        <v>1195</v>
      </c>
      <c r="I213" s="10"/>
      <c r="J213" s="10" t="s">
        <v>1196</v>
      </c>
      <c r="K213" s="10" t="s">
        <v>1197</v>
      </c>
      <c r="L213" s="10" t="s">
        <v>78</v>
      </c>
      <c r="M213" s="10" t="s">
        <v>36</v>
      </c>
      <c r="N213" s="10" t="s">
        <v>260</v>
      </c>
      <c r="O213" s="10" t="s">
        <v>38</v>
      </c>
      <c r="P213" s="10" t="s">
        <v>39</v>
      </c>
      <c r="Q213" s="10" t="s">
        <v>298</v>
      </c>
      <c r="R213" s="10" t="s">
        <v>100</v>
      </c>
      <c r="S213" s="10" t="s">
        <v>90</v>
      </c>
      <c r="T213" s="10" t="s">
        <v>43</v>
      </c>
      <c r="U213" s="10">
        <v>5311</v>
      </c>
      <c r="V213" s="10" t="s">
        <v>1137</v>
      </c>
      <c r="W213" s="11" t="s">
        <v>44</v>
      </c>
      <c r="X213" s="10" t="s">
        <v>181</v>
      </c>
      <c r="Y213" s="12"/>
    </row>
    <row r="214" spans="1:25" x14ac:dyDescent="0.25">
      <c r="A214" s="3">
        <v>53</v>
      </c>
      <c r="B214" s="3" t="s">
        <v>25</v>
      </c>
      <c r="C214" s="4">
        <v>533140</v>
      </c>
      <c r="D214" s="5" t="s">
        <v>1139</v>
      </c>
      <c r="E214" s="3">
        <v>5375</v>
      </c>
      <c r="F214" s="5" t="s">
        <v>1139</v>
      </c>
      <c r="G214" s="3" t="s">
        <v>1186</v>
      </c>
      <c r="H214" s="5" t="s">
        <v>1198</v>
      </c>
      <c r="I214" s="5"/>
      <c r="J214" s="5" t="s">
        <v>1199</v>
      </c>
      <c r="K214" s="5" t="s">
        <v>1200</v>
      </c>
      <c r="L214" s="5" t="s">
        <v>35</v>
      </c>
      <c r="M214" s="5" t="s">
        <v>68</v>
      </c>
      <c r="N214" s="5" t="s">
        <v>167</v>
      </c>
      <c r="O214" s="5" t="s">
        <v>1201</v>
      </c>
      <c r="P214" s="5" t="s">
        <v>39</v>
      </c>
      <c r="Q214" s="5" t="s">
        <v>190</v>
      </c>
      <c r="R214" s="5" t="s">
        <v>41</v>
      </c>
      <c r="S214" s="5" t="s">
        <v>82</v>
      </c>
      <c r="T214" s="5" t="s">
        <v>43</v>
      </c>
      <c r="U214" s="5">
        <v>5311</v>
      </c>
      <c r="V214" s="5" t="s">
        <v>1137</v>
      </c>
      <c r="W214" s="6" t="s">
        <v>44</v>
      </c>
      <c r="X214" s="5" t="s">
        <v>181</v>
      </c>
      <c r="Y214" s="7"/>
    </row>
    <row r="215" spans="1:25" x14ac:dyDescent="0.25">
      <c r="A215" s="8">
        <v>53</v>
      </c>
      <c r="B215" s="8" t="s">
        <v>25</v>
      </c>
      <c r="C215" s="9">
        <v>533140</v>
      </c>
      <c r="D215" s="10" t="s">
        <v>1139</v>
      </c>
      <c r="E215" s="8">
        <v>5375</v>
      </c>
      <c r="F215" s="10" t="s">
        <v>1139</v>
      </c>
      <c r="G215" s="8" t="s">
        <v>1186</v>
      </c>
      <c r="H215" s="10" t="s">
        <v>1202</v>
      </c>
      <c r="I215" s="10"/>
      <c r="J215" s="10" t="s">
        <v>1203</v>
      </c>
      <c r="K215" s="10" t="s">
        <v>1204</v>
      </c>
      <c r="L215" s="10" t="s">
        <v>35</v>
      </c>
      <c r="M215" s="10" t="s">
        <v>68</v>
      </c>
      <c r="N215" s="10" t="s">
        <v>167</v>
      </c>
      <c r="O215" s="10" t="s">
        <v>1205</v>
      </c>
      <c r="P215" s="10" t="s">
        <v>39</v>
      </c>
      <c r="Q215" s="10" t="s">
        <v>190</v>
      </c>
      <c r="R215" s="10" t="s">
        <v>41</v>
      </c>
      <c r="S215" s="10" t="s">
        <v>42</v>
      </c>
      <c r="T215" s="10" t="s">
        <v>43</v>
      </c>
      <c r="U215" s="10">
        <v>5311</v>
      </c>
      <c r="V215" s="10" t="s">
        <v>1137</v>
      </c>
      <c r="W215" s="11" t="s">
        <v>44</v>
      </c>
      <c r="X215" s="10" t="s">
        <v>181</v>
      </c>
      <c r="Y215" s="12"/>
    </row>
    <row r="216" spans="1:25" x14ac:dyDescent="0.25">
      <c r="A216" s="3">
        <v>53</v>
      </c>
      <c r="B216" s="3" t="s">
        <v>25</v>
      </c>
      <c r="C216" s="4">
        <v>533140</v>
      </c>
      <c r="D216" s="5" t="s">
        <v>1139</v>
      </c>
      <c r="E216" s="3">
        <v>5375</v>
      </c>
      <c r="F216" s="5" t="s">
        <v>1139</v>
      </c>
      <c r="G216" s="3" t="s">
        <v>1186</v>
      </c>
      <c r="H216" s="5" t="s">
        <v>1206</v>
      </c>
      <c r="I216" s="5"/>
      <c r="J216" s="5" t="s">
        <v>1207</v>
      </c>
      <c r="K216" s="5" t="s">
        <v>1208</v>
      </c>
      <c r="L216" s="5" t="s">
        <v>35</v>
      </c>
      <c r="M216" s="5" t="s">
        <v>68</v>
      </c>
      <c r="N216" s="5" t="s">
        <v>167</v>
      </c>
      <c r="O216" s="5" t="s">
        <v>1209</v>
      </c>
      <c r="P216" s="5" t="s">
        <v>199</v>
      </c>
      <c r="Q216" s="5" t="s">
        <v>190</v>
      </c>
      <c r="R216" s="5" t="s">
        <v>1136</v>
      </c>
      <c r="S216" s="5" t="s">
        <v>42</v>
      </c>
      <c r="T216" s="5" t="s">
        <v>43</v>
      </c>
      <c r="U216" s="5">
        <v>5311</v>
      </c>
      <c r="V216" s="5" t="s">
        <v>1137</v>
      </c>
      <c r="W216" s="6" t="s">
        <v>44</v>
      </c>
      <c r="X216" s="5" t="s">
        <v>181</v>
      </c>
      <c r="Y216" s="7"/>
    </row>
    <row r="217" spans="1:25" x14ac:dyDescent="0.25">
      <c r="A217" s="8">
        <v>53</v>
      </c>
      <c r="B217" s="8" t="s">
        <v>25</v>
      </c>
      <c r="C217" s="9">
        <v>533140</v>
      </c>
      <c r="D217" s="10" t="s">
        <v>1139</v>
      </c>
      <c r="E217" s="8">
        <v>5375</v>
      </c>
      <c r="F217" s="10" t="s">
        <v>1139</v>
      </c>
      <c r="G217" s="8" t="s">
        <v>1186</v>
      </c>
      <c r="H217" s="10" t="s">
        <v>1210</v>
      </c>
      <c r="I217" s="10"/>
      <c r="J217" s="10" t="s">
        <v>1211</v>
      </c>
      <c r="K217" s="10" t="s">
        <v>1212</v>
      </c>
      <c r="L217" s="10" t="s">
        <v>35</v>
      </c>
      <c r="M217" s="10" t="s">
        <v>68</v>
      </c>
      <c r="N217" s="10" t="s">
        <v>167</v>
      </c>
      <c r="O217" s="10" t="s">
        <v>1213</v>
      </c>
      <c r="P217" s="10" t="s">
        <v>39</v>
      </c>
      <c r="Q217" s="10" t="s">
        <v>190</v>
      </c>
      <c r="R217" s="10" t="s">
        <v>41</v>
      </c>
      <c r="S217" s="10" t="s">
        <v>82</v>
      </c>
      <c r="T217" s="10" t="s">
        <v>43</v>
      </c>
      <c r="U217" s="10">
        <v>5311</v>
      </c>
      <c r="V217" s="10" t="s">
        <v>1137</v>
      </c>
      <c r="W217" s="11" t="s">
        <v>44</v>
      </c>
      <c r="X217" s="10" t="s">
        <v>181</v>
      </c>
      <c r="Y217" s="12"/>
    </row>
    <row r="218" spans="1:25" x14ac:dyDescent="0.25">
      <c r="A218" s="3">
        <v>53</v>
      </c>
      <c r="B218" s="3" t="s">
        <v>25</v>
      </c>
      <c r="C218" s="4">
        <v>533800</v>
      </c>
      <c r="D218" s="5" t="s">
        <v>1214</v>
      </c>
      <c r="E218" s="3">
        <f>VLOOKUP(C218,'[1]Danh muc DPV để map DL'!$B$3:$N$209,6,FALSE)</f>
        <v>5375</v>
      </c>
      <c r="F218" s="5" t="str">
        <f>VLOOKUP(C218,'[1]Danh muc DPV để map DL'!$B$3:$N$209,7,FALSE)</f>
        <v>BCVH Thuận Hóa</v>
      </c>
      <c r="G218" s="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>
        <v>5310</v>
      </c>
      <c r="V218" s="5" t="s">
        <v>27</v>
      </c>
      <c r="W218" s="6" t="s">
        <v>44</v>
      </c>
      <c r="X218" s="5" t="s">
        <v>181</v>
      </c>
      <c r="Y218" s="7"/>
    </row>
    <row r="219" spans="1:25" x14ac:dyDescent="0.25">
      <c r="A219" s="8">
        <v>53</v>
      </c>
      <c r="B219" s="8" t="s">
        <v>25</v>
      </c>
      <c r="C219" s="9">
        <v>533130</v>
      </c>
      <c r="D219" s="10" t="s">
        <v>1215</v>
      </c>
      <c r="E219" s="8">
        <f>VLOOKUP(C219,'[1]Danh muc DPV để map DL'!$B$3:$N$209,6,FALSE)</f>
        <v>5375</v>
      </c>
      <c r="F219" s="10" t="str">
        <f>VLOOKUP(C219,'[1]Danh muc DPV để map DL'!$B$3:$N$209,7,FALSE)</f>
        <v>BCVH Thuận Hóa</v>
      </c>
      <c r="G219" s="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>
        <v>5311</v>
      </c>
      <c r="V219" s="10" t="s">
        <v>1137</v>
      </c>
      <c r="W219" s="11"/>
      <c r="X219" s="10" t="s">
        <v>1216</v>
      </c>
      <c r="Y219" s="12">
        <v>1</v>
      </c>
    </row>
    <row r="220" spans="1:25" x14ac:dyDescent="0.25">
      <c r="A220" s="3">
        <v>53</v>
      </c>
      <c r="B220" s="3" t="s">
        <v>25</v>
      </c>
      <c r="C220" s="4">
        <v>531420</v>
      </c>
      <c r="D220" s="5" t="s">
        <v>1217</v>
      </c>
      <c r="E220" s="3">
        <f>VLOOKUP(C220,'[1]Danh muc DPV để map DL'!$B$3:$N$209,6,FALSE)</f>
        <v>5375</v>
      </c>
      <c r="F220" s="5" t="str">
        <f>VLOOKUP(C220,'[1]Danh muc DPV để map DL'!$B$3:$N$209,7,FALSE)</f>
        <v>BCVH Thuận Hóa</v>
      </c>
      <c r="G220" s="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>
        <v>5311</v>
      </c>
      <c r="V220" s="5" t="s">
        <v>1137</v>
      </c>
      <c r="W220" s="6"/>
      <c r="X220" s="5" t="s">
        <v>181</v>
      </c>
      <c r="Y220" s="7">
        <v>1</v>
      </c>
    </row>
    <row r="221" spans="1:25" x14ac:dyDescent="0.25">
      <c r="A221" s="8">
        <v>53</v>
      </c>
      <c r="B221" s="8" t="s">
        <v>25</v>
      </c>
      <c r="C221" s="9">
        <v>537220</v>
      </c>
      <c r="D221" s="10" t="s">
        <v>1218</v>
      </c>
      <c r="E221" s="8">
        <v>5376</v>
      </c>
      <c r="F221" s="10" t="s">
        <v>1218</v>
      </c>
      <c r="G221" s="8" t="s">
        <v>1078</v>
      </c>
      <c r="H221" s="10" t="s">
        <v>1219</v>
      </c>
      <c r="I221" s="10"/>
      <c r="J221" s="10" t="s">
        <v>1220</v>
      </c>
      <c r="K221" s="10" t="s">
        <v>1221</v>
      </c>
      <c r="L221" s="10" t="s">
        <v>35</v>
      </c>
      <c r="M221" s="10" t="s">
        <v>755</v>
      </c>
      <c r="N221" s="10" t="s">
        <v>764</v>
      </c>
      <c r="O221" s="10" t="s">
        <v>1222</v>
      </c>
      <c r="P221" s="10" t="s">
        <v>136</v>
      </c>
      <c r="Q221" s="10" t="s">
        <v>849</v>
      </c>
      <c r="R221" s="10" t="s">
        <v>732</v>
      </c>
      <c r="S221" s="10" t="s">
        <v>52</v>
      </c>
      <c r="T221" s="10" t="s">
        <v>43</v>
      </c>
      <c r="U221" s="10">
        <v>5371</v>
      </c>
      <c r="V221" s="10" t="s">
        <v>713</v>
      </c>
      <c r="W221" s="11" t="s">
        <v>714</v>
      </c>
      <c r="X221" s="10" t="s">
        <v>768</v>
      </c>
      <c r="Y221" s="12"/>
    </row>
    <row r="222" spans="1:25" x14ac:dyDescent="0.25">
      <c r="A222" s="3">
        <v>53</v>
      </c>
      <c r="B222" s="3" t="s">
        <v>25</v>
      </c>
      <c r="C222" s="4">
        <v>537220</v>
      </c>
      <c r="D222" s="5" t="s">
        <v>1218</v>
      </c>
      <c r="E222" s="3">
        <v>5376</v>
      </c>
      <c r="F222" s="5" t="s">
        <v>1218</v>
      </c>
      <c r="G222" s="3" t="s">
        <v>1078</v>
      </c>
      <c r="H222" s="5" t="s">
        <v>1223</v>
      </c>
      <c r="I222" s="5"/>
      <c r="J222" s="5" t="s">
        <v>1224</v>
      </c>
      <c r="K222" s="5" t="s">
        <v>1225</v>
      </c>
      <c r="L222" s="5" t="s">
        <v>59</v>
      </c>
      <c r="M222" s="5" t="s">
        <v>97</v>
      </c>
      <c r="N222" s="5" t="s">
        <v>97</v>
      </c>
      <c r="O222" s="5" t="s">
        <v>98</v>
      </c>
      <c r="P222" s="5" t="s">
        <v>128</v>
      </c>
      <c r="Q222" s="5" t="s">
        <v>99</v>
      </c>
      <c r="R222" s="5" t="s">
        <v>385</v>
      </c>
      <c r="S222" s="5" t="s">
        <v>137</v>
      </c>
      <c r="T222" s="5" t="s">
        <v>43</v>
      </c>
      <c r="U222" s="5">
        <v>5371</v>
      </c>
      <c r="V222" s="5" t="s">
        <v>713</v>
      </c>
      <c r="W222" s="6" t="s">
        <v>714</v>
      </c>
      <c r="X222" s="5" t="s">
        <v>768</v>
      </c>
      <c r="Y222" s="7"/>
    </row>
    <row r="223" spans="1:25" x14ac:dyDescent="0.25">
      <c r="A223" s="8">
        <v>53</v>
      </c>
      <c r="B223" s="8" t="s">
        <v>25</v>
      </c>
      <c r="C223" s="9">
        <v>537220</v>
      </c>
      <c r="D223" s="10" t="s">
        <v>1218</v>
      </c>
      <c r="E223" s="8">
        <v>5376</v>
      </c>
      <c r="F223" s="10" t="s">
        <v>1218</v>
      </c>
      <c r="G223" s="8" t="s">
        <v>1078</v>
      </c>
      <c r="H223" s="10" t="s">
        <v>1226</v>
      </c>
      <c r="I223" s="10"/>
      <c r="J223" s="10" t="s">
        <v>1227</v>
      </c>
      <c r="K223" s="10" t="s">
        <v>1228</v>
      </c>
      <c r="L223" s="10" t="s">
        <v>78</v>
      </c>
      <c r="M223" s="10" t="s">
        <v>49</v>
      </c>
      <c r="N223" s="10" t="s">
        <v>50</v>
      </c>
      <c r="O223" s="10" t="s">
        <v>1229</v>
      </c>
      <c r="P223" s="10" t="s">
        <v>39</v>
      </c>
      <c r="Q223" s="10" t="s">
        <v>116</v>
      </c>
      <c r="R223" s="10" t="s">
        <v>100</v>
      </c>
      <c r="S223" s="10" t="s">
        <v>1230</v>
      </c>
      <c r="T223" s="10" t="s">
        <v>43</v>
      </c>
      <c r="U223" s="10">
        <v>5371</v>
      </c>
      <c r="V223" s="10" t="s">
        <v>713</v>
      </c>
      <c r="W223" s="11" t="s">
        <v>714</v>
      </c>
      <c r="X223" s="10" t="s">
        <v>768</v>
      </c>
      <c r="Y223" s="12"/>
    </row>
    <row r="224" spans="1:25" x14ac:dyDescent="0.25">
      <c r="A224" s="3">
        <v>53</v>
      </c>
      <c r="B224" s="3" t="s">
        <v>25</v>
      </c>
      <c r="C224" s="4">
        <v>536410</v>
      </c>
      <c r="D224" s="5" t="s">
        <v>1231</v>
      </c>
      <c r="E224" s="3">
        <f>VLOOKUP(C224,'[1]Danh muc DPV để map DL'!$B$3:$N$209,6,FALSE)</f>
        <v>5376</v>
      </c>
      <c r="F224" s="5" t="str">
        <f>VLOOKUP(C224,'[1]Danh muc DPV để map DL'!$B$3:$N$209,7,FALSE)</f>
        <v>BCVH Phú Lộc</v>
      </c>
      <c r="G224" s="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>
        <v>5364</v>
      </c>
      <c r="V224" s="5" t="s">
        <v>713</v>
      </c>
      <c r="W224" s="6" t="s">
        <v>714</v>
      </c>
      <c r="X224" s="5" t="s">
        <v>851</v>
      </c>
      <c r="Y224" s="7"/>
    </row>
    <row r="225" spans="1:25" x14ac:dyDescent="0.25">
      <c r="A225" s="8">
        <v>53</v>
      </c>
      <c r="B225" s="8" t="s">
        <v>25</v>
      </c>
      <c r="C225" s="9">
        <v>537140</v>
      </c>
      <c r="D225" s="10" t="s">
        <v>1232</v>
      </c>
      <c r="E225" s="8">
        <f>VLOOKUP(C225,'[1]Danh muc DPV để map DL'!$B$3:$N$209,6,FALSE)</f>
        <v>5376</v>
      </c>
      <c r="F225" s="10" t="str">
        <f>VLOOKUP(C225,'[1]Danh muc DPV để map DL'!$B$3:$N$209,7,FALSE)</f>
        <v>BCVH Phú Lộc</v>
      </c>
      <c r="G225" s="8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>
        <v>5371</v>
      </c>
      <c r="V225" s="10" t="s">
        <v>713</v>
      </c>
      <c r="W225" s="11" t="s">
        <v>714</v>
      </c>
      <c r="X225" s="10" t="s">
        <v>768</v>
      </c>
      <c r="Y225" s="12"/>
    </row>
    <row r="226" spans="1:25" x14ac:dyDescent="0.25">
      <c r="A226" s="3">
        <v>53</v>
      </c>
      <c r="B226" s="3" t="s">
        <v>25</v>
      </c>
      <c r="C226" s="4">
        <v>535790</v>
      </c>
      <c r="D226" s="5" t="s">
        <v>1233</v>
      </c>
      <c r="E226" s="3">
        <v>5377</v>
      </c>
      <c r="F226" s="5" t="s">
        <v>1233</v>
      </c>
      <c r="G226" s="3" t="s">
        <v>1078</v>
      </c>
      <c r="H226" s="5" t="s">
        <v>1234</v>
      </c>
      <c r="I226" s="5"/>
      <c r="J226" s="5" t="s">
        <v>1235</v>
      </c>
      <c r="K226" s="5" t="s">
        <v>1236</v>
      </c>
      <c r="L226" s="5" t="s">
        <v>35</v>
      </c>
      <c r="M226" s="5" t="s">
        <v>68</v>
      </c>
      <c r="N226" s="5" t="s">
        <v>167</v>
      </c>
      <c r="O226" s="5" t="s">
        <v>1237</v>
      </c>
      <c r="P226" s="5" t="s">
        <v>199</v>
      </c>
      <c r="Q226" s="5" t="s">
        <v>448</v>
      </c>
      <c r="R226" s="5" t="s">
        <v>41</v>
      </c>
      <c r="S226" s="5" t="s">
        <v>42</v>
      </c>
      <c r="T226" s="5" t="s">
        <v>43</v>
      </c>
      <c r="U226" s="5">
        <v>5357</v>
      </c>
      <c r="V226" s="5" t="s">
        <v>891</v>
      </c>
      <c r="W226" s="6" t="s">
        <v>1238</v>
      </c>
      <c r="X226" s="5" t="s">
        <v>899</v>
      </c>
      <c r="Y226" s="7"/>
    </row>
    <row r="227" spans="1:25" x14ac:dyDescent="0.25">
      <c r="A227" s="8">
        <v>53</v>
      </c>
      <c r="B227" s="8" t="s">
        <v>25</v>
      </c>
      <c r="C227" s="9">
        <v>535710</v>
      </c>
      <c r="D227" s="10" t="s">
        <v>1239</v>
      </c>
      <c r="E227" s="8">
        <f>VLOOKUP(C227,'[1]Danh muc DPV để map DL'!$B$3:$N$209,6,FALSE)</f>
        <v>5377</v>
      </c>
      <c r="F227" s="10" t="str">
        <f>VLOOKUP(C227,'[1]Danh muc DPV để map DL'!$B$3:$N$209,7,FALSE)</f>
        <v>BCVH A Lưới</v>
      </c>
      <c r="G227" s="8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>
        <v>5357</v>
      </c>
      <c r="V227" s="10" t="s">
        <v>891</v>
      </c>
      <c r="W227" s="11" t="s">
        <v>1238</v>
      </c>
      <c r="X227" s="10" t="s">
        <v>899</v>
      </c>
      <c r="Y227" s="12"/>
    </row>
    <row r="228" spans="1:25" x14ac:dyDescent="0.25">
      <c r="A228" s="3">
        <v>53</v>
      </c>
      <c r="B228" s="3" t="s">
        <v>25</v>
      </c>
      <c r="C228" s="4">
        <v>536752</v>
      </c>
      <c r="D228" s="5" t="s">
        <v>1240</v>
      </c>
      <c r="E228" s="3" t="str">
        <f>VLOOKUP(C228,'[1]Danh muc DPV để map DL'!$B$3:$N$209,6,FALSE)</f>
        <v>5300</v>
      </c>
      <c r="F228" s="5" t="str">
        <f>VLOOKUP(C228,'[1]Danh muc DPV để map DL'!$B$3:$N$209,7,FALSE)</f>
        <v>Bưu điện phường Thuận An</v>
      </c>
      <c r="G228" s="3"/>
      <c r="H228" s="5" t="s">
        <v>1241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>
        <v>5310</v>
      </c>
      <c r="V228" s="5" t="s">
        <v>27</v>
      </c>
      <c r="W228" s="6" t="s">
        <v>44</v>
      </c>
      <c r="X228" s="5" t="s">
        <v>1242</v>
      </c>
      <c r="Y228" s="7">
        <v>1</v>
      </c>
    </row>
    <row r="229" spans="1:25" x14ac:dyDescent="0.25">
      <c r="A229" s="8">
        <v>53</v>
      </c>
      <c r="B229" s="8" t="s">
        <v>25</v>
      </c>
      <c r="C229" s="9">
        <v>531510</v>
      </c>
      <c r="D229" s="10" t="s">
        <v>1243</v>
      </c>
      <c r="E229" s="8" t="str">
        <f>VLOOKUP(C229,'[1]Danh muc DPV để map DL'!$B$3:$N$209,6,FALSE)</f>
        <v>5303</v>
      </c>
      <c r="F229" s="10" t="str">
        <f>VLOOKUP(C229,'[1]Danh muc DPV để map DL'!$B$3:$N$209,7,FALSE)</f>
        <v>Bưu điện phường Vỹ Dạ</v>
      </c>
      <c r="G229" s="8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>
        <v>5310</v>
      </c>
      <c r="V229" s="10" t="s">
        <v>27</v>
      </c>
      <c r="W229" s="11" t="s">
        <v>44</v>
      </c>
      <c r="X229" s="10" t="s">
        <v>1244</v>
      </c>
      <c r="Y229" s="12"/>
    </row>
    <row r="230" spans="1:25" x14ac:dyDescent="0.25">
      <c r="A230" s="3">
        <v>53</v>
      </c>
      <c r="B230" s="3" t="s">
        <v>25</v>
      </c>
      <c r="C230" s="4">
        <v>531421</v>
      </c>
      <c r="D230" s="5" t="s">
        <v>1245</v>
      </c>
      <c r="E230" s="3" t="str">
        <f>VLOOKUP(C230,'[1]Danh muc DPV để map DL'!$B$3:$N$209,6,FALSE)</f>
        <v>5304</v>
      </c>
      <c r="F230" s="5" t="str">
        <f>VLOOKUP(C230,'[1]Danh muc DPV để map DL'!$B$3:$N$209,7,FALSE)</f>
        <v>Bưu điện phường Thuận Hóa</v>
      </c>
      <c r="G230" s="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>
        <v>5310</v>
      </c>
      <c r="V230" s="5" t="s">
        <v>27</v>
      </c>
      <c r="W230" s="6"/>
      <c r="X230" s="5" t="s">
        <v>1246</v>
      </c>
      <c r="Y230" s="7">
        <v>1</v>
      </c>
    </row>
    <row r="231" spans="1:25" x14ac:dyDescent="0.25">
      <c r="A231" s="8">
        <v>53</v>
      </c>
      <c r="B231" s="8" t="s">
        <v>25</v>
      </c>
      <c r="C231" s="9">
        <v>532270</v>
      </c>
      <c r="D231" s="10" t="s">
        <v>1247</v>
      </c>
      <c r="E231" s="8" t="str">
        <f>VLOOKUP(C231,'[1]Danh muc DPV để map DL'!$B$3:$N$209,6,FALSE)</f>
        <v>5304</v>
      </c>
      <c r="F231" s="10" t="str">
        <f>VLOOKUP(C231,'[1]Danh muc DPV để map DL'!$B$3:$N$209,7,FALSE)</f>
        <v>Bưu điện phường Thuận Hóa</v>
      </c>
      <c r="G231" s="8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>
        <v>5310</v>
      </c>
      <c r="V231" s="10" t="s">
        <v>27</v>
      </c>
      <c r="W231" s="11"/>
      <c r="X231" s="10" t="s">
        <v>1248</v>
      </c>
      <c r="Y231" s="12">
        <v>1</v>
      </c>
    </row>
    <row r="232" spans="1:25" x14ac:dyDescent="0.25">
      <c r="A232" s="3">
        <v>53</v>
      </c>
      <c r="B232" s="3" t="s">
        <v>25</v>
      </c>
      <c r="C232" s="4">
        <v>536800</v>
      </c>
      <c r="D232" s="5" t="s">
        <v>1249</v>
      </c>
      <c r="E232" s="3" t="str">
        <f>VLOOKUP(C232,'[1]Danh muc DPV để map DL'!$B$3:$N$209,6,FALSE)</f>
        <v>5304</v>
      </c>
      <c r="F232" s="5" t="str">
        <f>VLOOKUP(C232,'[1]Danh muc DPV để map DL'!$B$3:$N$209,7,FALSE)</f>
        <v>Bưu điện phường Thuận Hóa</v>
      </c>
      <c r="G232" s="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>
        <v>5310</v>
      </c>
      <c r="V232" s="5" t="s">
        <v>27</v>
      </c>
      <c r="W232" s="6"/>
      <c r="X232" s="5" t="s">
        <v>1250</v>
      </c>
      <c r="Y232" s="7">
        <v>1</v>
      </c>
    </row>
    <row r="233" spans="1:25" x14ac:dyDescent="0.25">
      <c r="A233" s="8">
        <v>53</v>
      </c>
      <c r="B233" s="8" t="s">
        <v>25</v>
      </c>
      <c r="C233" s="9">
        <v>536715</v>
      </c>
      <c r="D233" s="10" t="s">
        <v>1251</v>
      </c>
      <c r="E233" s="8" t="str">
        <f>VLOOKUP(C233,'[1]Danh muc DPV để map DL'!$B$3:$N$209,6,FALSE)</f>
        <v>5304</v>
      </c>
      <c r="F233" s="10" t="str">
        <f>VLOOKUP(C233,'[1]Danh muc DPV để map DL'!$B$3:$N$209,7,FALSE)</f>
        <v>Bưu điện phường Thuận Hóa</v>
      </c>
      <c r="G233" s="8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>
        <v>5310</v>
      </c>
      <c r="V233" s="10" t="s">
        <v>27</v>
      </c>
      <c r="W233" s="11"/>
      <c r="X233" s="10" t="s">
        <v>130</v>
      </c>
      <c r="Y233" s="12">
        <v>1</v>
      </c>
    </row>
    <row r="234" spans="1:25" x14ac:dyDescent="0.25">
      <c r="A234" s="3">
        <v>53</v>
      </c>
      <c r="B234" s="3" t="s">
        <v>25</v>
      </c>
      <c r="C234" s="4">
        <v>532530</v>
      </c>
      <c r="D234" s="5" t="s">
        <v>1252</v>
      </c>
      <c r="E234" s="3" t="str">
        <f>VLOOKUP(C234,'[1]Danh muc DPV để map DL'!$B$3:$N$209,6,FALSE)</f>
        <v>5308</v>
      </c>
      <c r="F234" s="5" t="str">
        <f>VLOOKUP(C234,'[1]Danh muc DPV để map DL'!$B$3:$N$209,7,FALSE)</f>
        <v>Bưu điện phường Hương An</v>
      </c>
      <c r="G234" s="3"/>
      <c r="H234" s="5" t="s">
        <v>1253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>
        <v>5310</v>
      </c>
      <c r="V234" s="5" t="s">
        <v>27</v>
      </c>
      <c r="W234" s="6" t="s">
        <v>44</v>
      </c>
      <c r="X234" s="5" t="s">
        <v>1254</v>
      </c>
      <c r="Y234" s="7"/>
    </row>
    <row r="235" spans="1:25" x14ac:dyDescent="0.25">
      <c r="A235" s="8">
        <v>53</v>
      </c>
      <c r="B235" s="8" t="s">
        <v>25</v>
      </c>
      <c r="C235" s="9">
        <v>531130</v>
      </c>
      <c r="D235" s="10" t="s">
        <v>1255</v>
      </c>
      <c r="E235" s="8" t="s">
        <v>1256</v>
      </c>
      <c r="F235" s="10" t="s">
        <v>1257</v>
      </c>
      <c r="G235" s="8" t="s">
        <v>226</v>
      </c>
      <c r="H235" s="10" t="s">
        <v>1258</v>
      </c>
      <c r="I235" s="10"/>
      <c r="J235" s="10" t="s">
        <v>1259</v>
      </c>
      <c r="K235" s="10" t="s">
        <v>1260</v>
      </c>
      <c r="L235" s="10" t="s">
        <v>78</v>
      </c>
      <c r="M235" s="10" t="s">
        <v>97</v>
      </c>
      <c r="N235" s="10" t="s">
        <v>97</v>
      </c>
      <c r="O235" s="10" t="s">
        <v>98</v>
      </c>
      <c r="P235" s="10" t="s">
        <v>128</v>
      </c>
      <c r="Q235" s="10" t="s">
        <v>1261</v>
      </c>
      <c r="R235" s="10" t="s">
        <v>100</v>
      </c>
      <c r="S235" s="10" t="s">
        <v>607</v>
      </c>
      <c r="T235" s="10" t="s">
        <v>1262</v>
      </c>
      <c r="U235" s="10"/>
      <c r="V235" s="10"/>
      <c r="W235" s="11"/>
      <c r="X235" s="10"/>
      <c r="Y235" s="12"/>
    </row>
    <row r="236" spans="1:25" x14ac:dyDescent="0.25">
      <c r="A236" s="3">
        <v>53</v>
      </c>
      <c r="B236" s="3" t="s">
        <v>25</v>
      </c>
      <c r="C236" s="4">
        <v>531130</v>
      </c>
      <c r="D236" s="5" t="s">
        <v>1255</v>
      </c>
      <c r="E236" s="3" t="s">
        <v>1256</v>
      </c>
      <c r="F236" s="5" t="s">
        <v>1257</v>
      </c>
      <c r="G236" s="3" t="s">
        <v>226</v>
      </c>
      <c r="H236" s="5" t="s">
        <v>1263</v>
      </c>
      <c r="I236" s="5"/>
      <c r="J236" s="5" t="s">
        <v>1264</v>
      </c>
      <c r="K236" s="5" t="s">
        <v>1265</v>
      </c>
      <c r="L236" s="5" t="s">
        <v>78</v>
      </c>
      <c r="M236" s="5" t="s">
        <v>97</v>
      </c>
      <c r="N236" s="5" t="s">
        <v>97</v>
      </c>
      <c r="O236" s="5" t="s">
        <v>98</v>
      </c>
      <c r="P236" s="5" t="s">
        <v>128</v>
      </c>
      <c r="Q236" s="5" t="s">
        <v>1266</v>
      </c>
      <c r="R236" s="5" t="s">
        <v>581</v>
      </c>
      <c r="S236" s="5" t="s">
        <v>137</v>
      </c>
      <c r="T236" s="5" t="s">
        <v>1267</v>
      </c>
      <c r="U236" s="5"/>
      <c r="V236" s="5"/>
      <c r="W236" s="6"/>
      <c r="X236" s="5"/>
      <c r="Y236" s="7"/>
    </row>
    <row r="237" spans="1:25" x14ac:dyDescent="0.25">
      <c r="A237" s="8">
        <v>53</v>
      </c>
      <c r="B237" s="8" t="s">
        <v>25</v>
      </c>
      <c r="C237" s="9">
        <v>531130</v>
      </c>
      <c r="D237" s="10" t="s">
        <v>1255</v>
      </c>
      <c r="E237" s="8" t="s">
        <v>1256</v>
      </c>
      <c r="F237" s="10" t="s">
        <v>1268</v>
      </c>
      <c r="G237" s="8" t="s">
        <v>226</v>
      </c>
      <c r="H237" s="10" t="s">
        <v>1269</v>
      </c>
      <c r="I237" s="10"/>
      <c r="J237" s="10" t="s">
        <v>1270</v>
      </c>
      <c r="K237" s="10" t="s">
        <v>1271</v>
      </c>
      <c r="L237" s="10" t="s">
        <v>78</v>
      </c>
      <c r="M237" s="10" t="s">
        <v>161</v>
      </c>
      <c r="N237" s="10" t="s">
        <v>162</v>
      </c>
      <c r="O237" s="10" t="s">
        <v>98</v>
      </c>
      <c r="P237" s="10" t="s">
        <v>199</v>
      </c>
      <c r="Q237" s="10" t="s">
        <v>1272</v>
      </c>
      <c r="R237" s="10" t="s">
        <v>41</v>
      </c>
      <c r="S237" s="10" t="s">
        <v>642</v>
      </c>
      <c r="T237" s="10" t="s">
        <v>1273</v>
      </c>
      <c r="U237" s="10"/>
      <c r="V237" s="10"/>
      <c r="W237" s="11"/>
      <c r="X237" s="10"/>
      <c r="Y237" s="12"/>
    </row>
    <row r="238" spans="1:25" x14ac:dyDescent="0.25">
      <c r="A238" s="3">
        <v>53</v>
      </c>
      <c r="B238" s="3" t="s">
        <v>25</v>
      </c>
      <c r="C238" s="4">
        <v>531130</v>
      </c>
      <c r="D238" s="5" t="s">
        <v>1255</v>
      </c>
      <c r="E238" s="3" t="s">
        <v>1256</v>
      </c>
      <c r="F238" s="5" t="s">
        <v>1268</v>
      </c>
      <c r="G238" s="3" t="s">
        <v>226</v>
      </c>
      <c r="H238" s="5" t="s">
        <v>1274</v>
      </c>
      <c r="I238" s="5"/>
      <c r="J238" s="5" t="s">
        <v>1275</v>
      </c>
      <c r="K238" s="5" t="s">
        <v>1276</v>
      </c>
      <c r="L238" s="5" t="s">
        <v>78</v>
      </c>
      <c r="M238" s="5" t="s">
        <v>97</v>
      </c>
      <c r="N238" s="5" t="s">
        <v>97</v>
      </c>
      <c r="O238" s="5" t="s">
        <v>98</v>
      </c>
      <c r="P238" s="5" t="s">
        <v>39</v>
      </c>
      <c r="Q238" s="5" t="s">
        <v>625</v>
      </c>
      <c r="R238" s="5" t="s">
        <v>1136</v>
      </c>
      <c r="S238" s="5" t="s">
        <v>700</v>
      </c>
      <c r="T238" s="5" t="s">
        <v>1277</v>
      </c>
      <c r="U238" s="5"/>
      <c r="V238" s="5"/>
      <c r="W238" s="6"/>
      <c r="X238" s="5"/>
      <c r="Y238" s="7"/>
    </row>
    <row r="239" spans="1:25" x14ac:dyDescent="0.25">
      <c r="A239" s="8">
        <v>53</v>
      </c>
      <c r="B239" s="8" t="s">
        <v>25</v>
      </c>
      <c r="C239" s="9">
        <v>531130</v>
      </c>
      <c r="D239" s="10" t="s">
        <v>1255</v>
      </c>
      <c r="E239" s="8" t="s">
        <v>1256</v>
      </c>
      <c r="F239" s="10" t="s">
        <v>1268</v>
      </c>
      <c r="G239" s="8" t="s">
        <v>226</v>
      </c>
      <c r="H239" s="10" t="s">
        <v>1278</v>
      </c>
      <c r="I239" s="10"/>
      <c r="J239" s="10" t="s">
        <v>1279</v>
      </c>
      <c r="K239" s="10" t="s">
        <v>1280</v>
      </c>
      <c r="L239" s="10" t="s">
        <v>78</v>
      </c>
      <c r="M239" s="10" t="s">
        <v>97</v>
      </c>
      <c r="N239" s="10" t="s">
        <v>97</v>
      </c>
      <c r="O239" s="10" t="s">
        <v>98</v>
      </c>
      <c r="P239" s="10" t="s">
        <v>128</v>
      </c>
      <c r="Q239" s="10" t="s">
        <v>1261</v>
      </c>
      <c r="R239" s="10" t="s">
        <v>100</v>
      </c>
      <c r="S239" s="10" t="s">
        <v>607</v>
      </c>
      <c r="T239" s="10" t="s">
        <v>1281</v>
      </c>
      <c r="U239" s="10"/>
      <c r="V239" s="10"/>
      <c r="W239" s="11"/>
      <c r="X239" s="10"/>
      <c r="Y239" s="12"/>
    </row>
    <row r="240" spans="1:25" x14ac:dyDescent="0.25">
      <c r="A240" s="3">
        <v>53</v>
      </c>
      <c r="B240" s="3" t="s">
        <v>25</v>
      </c>
      <c r="C240" s="4">
        <v>531130</v>
      </c>
      <c r="D240" s="5" t="s">
        <v>1255</v>
      </c>
      <c r="E240" s="3" t="s">
        <v>1256</v>
      </c>
      <c r="F240" s="5" t="s">
        <v>1268</v>
      </c>
      <c r="G240" s="3" t="s">
        <v>226</v>
      </c>
      <c r="H240" s="5" t="s">
        <v>1282</v>
      </c>
      <c r="I240" s="5"/>
      <c r="J240" s="5" t="s">
        <v>1283</v>
      </c>
      <c r="K240" s="5" t="s">
        <v>1284</v>
      </c>
      <c r="L240" s="5" t="s">
        <v>78</v>
      </c>
      <c r="M240" s="5" t="s">
        <v>161</v>
      </c>
      <c r="N240" s="5" t="s">
        <v>162</v>
      </c>
      <c r="O240" s="5" t="s">
        <v>98</v>
      </c>
      <c r="P240" s="5" t="s">
        <v>199</v>
      </c>
      <c r="Q240" s="5" t="s">
        <v>99</v>
      </c>
      <c r="R240" s="5" t="s">
        <v>1136</v>
      </c>
      <c r="S240" s="5" t="s">
        <v>700</v>
      </c>
      <c r="T240" s="5" t="s">
        <v>1285</v>
      </c>
      <c r="U240" s="5"/>
      <c r="V240" s="5"/>
      <c r="W240" s="6"/>
      <c r="X240" s="5"/>
      <c r="Y240" s="7"/>
    </row>
    <row r="241" spans="1:25" x14ac:dyDescent="0.25">
      <c r="A241" s="8">
        <v>53</v>
      </c>
      <c r="B241" s="8" t="s">
        <v>25</v>
      </c>
      <c r="C241" s="9">
        <v>531130</v>
      </c>
      <c r="D241" s="10" t="s">
        <v>1255</v>
      </c>
      <c r="E241" s="8" t="s">
        <v>1256</v>
      </c>
      <c r="F241" s="10" t="s">
        <v>1268</v>
      </c>
      <c r="G241" s="8" t="s">
        <v>226</v>
      </c>
      <c r="H241" s="10" t="s">
        <v>1286</v>
      </c>
      <c r="I241" s="10"/>
      <c r="J241" s="10" t="s">
        <v>1287</v>
      </c>
      <c r="K241" s="10" t="s">
        <v>1288</v>
      </c>
      <c r="L241" s="10" t="s">
        <v>78</v>
      </c>
      <c r="M241" s="10" t="s">
        <v>161</v>
      </c>
      <c r="N241" s="10" t="s">
        <v>162</v>
      </c>
      <c r="O241" s="10" t="s">
        <v>98</v>
      </c>
      <c r="P241" s="10" t="s">
        <v>39</v>
      </c>
      <c r="Q241" s="10" t="s">
        <v>99</v>
      </c>
      <c r="R241" s="10" t="s">
        <v>385</v>
      </c>
      <c r="S241" s="10" t="s">
        <v>90</v>
      </c>
      <c r="T241" s="10" t="s">
        <v>1289</v>
      </c>
      <c r="U241" s="10"/>
      <c r="V241" s="10"/>
      <c r="W241" s="11"/>
      <c r="X241" s="10"/>
      <c r="Y241" s="12"/>
    </row>
    <row r="242" spans="1:25" x14ac:dyDescent="0.25">
      <c r="A242" s="3">
        <v>53</v>
      </c>
      <c r="B242" s="3" t="s">
        <v>25</v>
      </c>
      <c r="C242" s="4">
        <v>531130</v>
      </c>
      <c r="D242" s="5" t="s">
        <v>1255</v>
      </c>
      <c r="E242" s="3" t="s">
        <v>1256</v>
      </c>
      <c r="F242" s="5" t="s">
        <v>1268</v>
      </c>
      <c r="G242" s="3" t="s">
        <v>226</v>
      </c>
      <c r="H242" s="5" t="s">
        <v>1290</v>
      </c>
      <c r="I242" s="5"/>
      <c r="J242" s="5" t="s">
        <v>1291</v>
      </c>
      <c r="K242" s="5" t="s">
        <v>1292</v>
      </c>
      <c r="L242" s="5" t="s">
        <v>78</v>
      </c>
      <c r="M242" s="5" t="s">
        <v>36</v>
      </c>
      <c r="N242" s="5" t="s">
        <v>1293</v>
      </c>
      <c r="O242" s="5" t="s">
        <v>38</v>
      </c>
      <c r="P242" s="5" t="s">
        <v>39</v>
      </c>
      <c r="Q242" s="5" t="s">
        <v>1294</v>
      </c>
      <c r="R242" s="5" t="s">
        <v>100</v>
      </c>
      <c r="S242" s="5" t="s">
        <v>137</v>
      </c>
      <c r="T242" s="5" t="s">
        <v>1295</v>
      </c>
      <c r="U242" s="5"/>
      <c r="V242" s="5"/>
      <c r="W242" s="6"/>
      <c r="X242" s="5"/>
      <c r="Y242" s="7"/>
    </row>
    <row r="243" spans="1:25" x14ac:dyDescent="0.25">
      <c r="A243" s="8">
        <v>53</v>
      </c>
      <c r="B243" s="8" t="s">
        <v>25</v>
      </c>
      <c r="C243" s="9">
        <v>531130</v>
      </c>
      <c r="D243" s="10" t="s">
        <v>1255</v>
      </c>
      <c r="E243" s="8" t="s">
        <v>1256</v>
      </c>
      <c r="F243" s="10" t="s">
        <v>1268</v>
      </c>
      <c r="G243" s="8" t="s">
        <v>226</v>
      </c>
      <c r="H243" s="10" t="s">
        <v>1296</v>
      </c>
      <c r="I243" s="10"/>
      <c r="J243" s="10" t="s">
        <v>1297</v>
      </c>
      <c r="K243" s="10" t="s">
        <v>1298</v>
      </c>
      <c r="L243" s="10" t="s">
        <v>78</v>
      </c>
      <c r="M243" s="10" t="s">
        <v>161</v>
      </c>
      <c r="N243" s="10" t="s">
        <v>162</v>
      </c>
      <c r="O243" s="10" t="s">
        <v>98</v>
      </c>
      <c r="P243" s="10" t="s">
        <v>39</v>
      </c>
      <c r="Q243" s="10" t="s">
        <v>99</v>
      </c>
      <c r="R243" s="10" t="s">
        <v>1136</v>
      </c>
      <c r="S243" s="10" t="s">
        <v>90</v>
      </c>
      <c r="T243" s="10" t="s">
        <v>1299</v>
      </c>
      <c r="U243" s="10"/>
      <c r="V243" s="10"/>
      <c r="W243" s="11"/>
      <c r="X243" s="10"/>
      <c r="Y243" s="12"/>
    </row>
    <row r="244" spans="1:25" x14ac:dyDescent="0.25">
      <c r="A244" s="3">
        <v>53</v>
      </c>
      <c r="B244" s="3" t="s">
        <v>25</v>
      </c>
      <c r="C244" s="4">
        <v>531130</v>
      </c>
      <c r="D244" s="5" t="s">
        <v>1255</v>
      </c>
      <c r="E244" s="3" t="s">
        <v>1256</v>
      </c>
      <c r="F244" s="5" t="s">
        <v>1268</v>
      </c>
      <c r="G244" s="3" t="s">
        <v>226</v>
      </c>
      <c r="H244" s="5" t="s">
        <v>1300</v>
      </c>
      <c r="I244" s="5"/>
      <c r="J244" s="5" t="s">
        <v>1301</v>
      </c>
      <c r="K244" s="5" t="s">
        <v>1302</v>
      </c>
      <c r="L244" s="5" t="s">
        <v>78</v>
      </c>
      <c r="M244" s="5" t="s">
        <v>36</v>
      </c>
      <c r="N244" s="5" t="s">
        <v>260</v>
      </c>
      <c r="O244" s="5" t="s">
        <v>38</v>
      </c>
      <c r="P244" s="5" t="s">
        <v>39</v>
      </c>
      <c r="Q244" s="5" t="s">
        <v>1303</v>
      </c>
      <c r="R244" s="5" t="s">
        <v>100</v>
      </c>
      <c r="S244" s="5" t="s">
        <v>90</v>
      </c>
      <c r="T244" s="5" t="s">
        <v>1304</v>
      </c>
      <c r="U244" s="5"/>
      <c r="V244" s="5"/>
      <c r="W244" s="6"/>
      <c r="X244" s="5"/>
      <c r="Y244" s="7"/>
    </row>
    <row r="245" spans="1:25" x14ac:dyDescent="0.25">
      <c r="A245" s="8">
        <v>53</v>
      </c>
      <c r="B245" s="8" t="s">
        <v>25</v>
      </c>
      <c r="C245" s="9">
        <v>531130</v>
      </c>
      <c r="D245" s="10" t="s">
        <v>1255</v>
      </c>
      <c r="E245" s="8" t="s">
        <v>1256</v>
      </c>
      <c r="F245" s="10" t="s">
        <v>1268</v>
      </c>
      <c r="G245" s="8" t="s">
        <v>226</v>
      </c>
      <c r="H245" s="10" t="s">
        <v>1305</v>
      </c>
      <c r="I245" s="10"/>
      <c r="J245" s="10" t="s">
        <v>1306</v>
      </c>
      <c r="K245" s="10" t="s">
        <v>1307</v>
      </c>
      <c r="L245" s="10" t="s">
        <v>78</v>
      </c>
      <c r="M245" s="10" t="s">
        <v>244</v>
      </c>
      <c r="N245" s="10" t="s">
        <v>1175</v>
      </c>
      <c r="O245" s="10" t="s">
        <v>246</v>
      </c>
      <c r="P245" s="10" t="s">
        <v>39</v>
      </c>
      <c r="Q245" s="10" t="s">
        <v>1308</v>
      </c>
      <c r="R245" s="10" t="s">
        <v>581</v>
      </c>
      <c r="S245" s="10" t="s">
        <v>1309</v>
      </c>
      <c r="T245" s="10" t="s">
        <v>1310</v>
      </c>
      <c r="U245" s="10"/>
      <c r="V245" s="10"/>
      <c r="W245" s="11"/>
      <c r="X245" s="10"/>
      <c r="Y245" s="12"/>
    </row>
    <row r="246" spans="1:25" x14ac:dyDescent="0.25">
      <c r="A246" s="3">
        <v>53</v>
      </c>
      <c r="B246" s="3" t="s">
        <v>25</v>
      </c>
      <c r="C246" s="4">
        <v>531130</v>
      </c>
      <c r="D246" s="5" t="s">
        <v>1255</v>
      </c>
      <c r="E246" s="3" t="s">
        <v>1256</v>
      </c>
      <c r="F246" s="5" t="s">
        <v>1311</v>
      </c>
      <c r="G246" s="3" t="s">
        <v>226</v>
      </c>
      <c r="H246" s="5" t="s">
        <v>1312</v>
      </c>
      <c r="I246" s="5"/>
      <c r="J246" s="5" t="s">
        <v>1313</v>
      </c>
      <c r="K246" s="5" t="s">
        <v>1314</v>
      </c>
      <c r="L246" s="5" t="s">
        <v>78</v>
      </c>
      <c r="M246" s="5" t="s">
        <v>244</v>
      </c>
      <c r="N246" s="5" t="s">
        <v>245</v>
      </c>
      <c r="O246" s="5" t="s">
        <v>246</v>
      </c>
      <c r="P246" s="5" t="s">
        <v>39</v>
      </c>
      <c r="Q246" s="5" t="s">
        <v>298</v>
      </c>
      <c r="R246" s="5" t="s">
        <v>100</v>
      </c>
      <c r="S246" s="5" t="s">
        <v>137</v>
      </c>
      <c r="T246" s="5" t="s">
        <v>1315</v>
      </c>
      <c r="U246" s="5"/>
      <c r="V246" s="5"/>
      <c r="W246" s="6"/>
      <c r="X246" s="5"/>
      <c r="Y246" s="7"/>
    </row>
    <row r="247" spans="1:25" x14ac:dyDescent="0.25">
      <c r="A247" s="8">
        <v>53</v>
      </c>
      <c r="B247" s="8" t="s">
        <v>25</v>
      </c>
      <c r="C247" s="9">
        <v>531130</v>
      </c>
      <c r="D247" s="10" t="s">
        <v>1255</v>
      </c>
      <c r="E247" s="8" t="s">
        <v>1256</v>
      </c>
      <c r="F247" s="10" t="s">
        <v>1311</v>
      </c>
      <c r="G247" s="8" t="s">
        <v>226</v>
      </c>
      <c r="H247" s="10" t="s">
        <v>1316</v>
      </c>
      <c r="I247" s="10"/>
      <c r="J247" s="10" t="s">
        <v>1317</v>
      </c>
      <c r="K247" s="10" t="s">
        <v>1318</v>
      </c>
      <c r="L247" s="10" t="s">
        <v>78</v>
      </c>
      <c r="M247" s="10" t="s">
        <v>49</v>
      </c>
      <c r="N247" s="10" t="s">
        <v>1319</v>
      </c>
      <c r="O247" s="10" t="s">
        <v>1320</v>
      </c>
      <c r="P247" s="10" t="s">
        <v>61</v>
      </c>
      <c r="Q247" s="10" t="s">
        <v>1321</v>
      </c>
      <c r="R247" s="10" t="s">
        <v>41</v>
      </c>
      <c r="S247" s="10" t="s">
        <v>90</v>
      </c>
      <c r="T247" s="10" t="s">
        <v>1322</v>
      </c>
      <c r="U247" s="10"/>
      <c r="V247" s="10"/>
      <c r="W247" s="11"/>
      <c r="X247" s="10"/>
      <c r="Y247" s="12"/>
    </row>
    <row r="248" spans="1:25" x14ac:dyDescent="0.25">
      <c r="A248" s="3">
        <v>53</v>
      </c>
      <c r="B248" s="3" t="s">
        <v>25</v>
      </c>
      <c r="C248" s="4">
        <v>531130</v>
      </c>
      <c r="D248" s="5" t="s">
        <v>1255</v>
      </c>
      <c r="E248" s="3" t="s">
        <v>1256</v>
      </c>
      <c r="F248" s="5" t="s">
        <v>1311</v>
      </c>
      <c r="G248" s="3" t="s">
        <v>226</v>
      </c>
      <c r="H248" s="5" t="s">
        <v>1323</v>
      </c>
      <c r="I248" s="5"/>
      <c r="J248" s="5" t="s">
        <v>1324</v>
      </c>
      <c r="K248" s="5" t="s">
        <v>1325</v>
      </c>
      <c r="L248" s="5" t="s">
        <v>78</v>
      </c>
      <c r="M248" s="5" t="s">
        <v>36</v>
      </c>
      <c r="N248" s="5" t="s">
        <v>37</v>
      </c>
      <c r="O248" s="5" t="s">
        <v>38</v>
      </c>
      <c r="P248" s="5" t="s">
        <v>39</v>
      </c>
      <c r="Q248" s="5" t="s">
        <v>1326</v>
      </c>
      <c r="R248" s="5" t="s">
        <v>100</v>
      </c>
      <c r="S248" s="5" t="s">
        <v>137</v>
      </c>
      <c r="T248" s="5" t="s">
        <v>1327</v>
      </c>
      <c r="U248" s="5"/>
      <c r="V248" s="5"/>
      <c r="W248" s="6"/>
      <c r="X248" s="5"/>
      <c r="Y248" s="7"/>
    </row>
    <row r="249" spans="1:25" x14ac:dyDescent="0.25">
      <c r="A249" s="8">
        <v>53</v>
      </c>
      <c r="B249" s="8" t="s">
        <v>25</v>
      </c>
      <c r="C249" s="9">
        <v>531130</v>
      </c>
      <c r="D249" s="10" t="s">
        <v>1255</v>
      </c>
      <c r="E249" s="8" t="s">
        <v>1256</v>
      </c>
      <c r="F249" s="10" t="s">
        <v>1311</v>
      </c>
      <c r="G249" s="8" t="s">
        <v>226</v>
      </c>
      <c r="H249" s="10" t="s">
        <v>1328</v>
      </c>
      <c r="I249" s="10"/>
      <c r="J249" s="10" t="s">
        <v>1329</v>
      </c>
      <c r="K249" s="10" t="s">
        <v>1330</v>
      </c>
      <c r="L249" s="10" t="s">
        <v>78</v>
      </c>
      <c r="M249" s="10" t="s">
        <v>97</v>
      </c>
      <c r="N249" s="10" t="s">
        <v>97</v>
      </c>
      <c r="O249" s="10" t="s">
        <v>98</v>
      </c>
      <c r="P249" s="10" t="s">
        <v>128</v>
      </c>
      <c r="Q249" s="10" t="s">
        <v>1331</v>
      </c>
      <c r="R249" s="10" t="s">
        <v>581</v>
      </c>
      <c r="S249" s="10" t="s">
        <v>1332</v>
      </c>
      <c r="T249" s="10" t="s">
        <v>1333</v>
      </c>
      <c r="U249" s="10"/>
      <c r="V249" s="10"/>
      <c r="W249" s="11"/>
      <c r="X249" s="10"/>
      <c r="Y249" s="12"/>
    </row>
    <row r="250" spans="1:25" x14ac:dyDescent="0.25">
      <c r="A250" s="3">
        <v>53</v>
      </c>
      <c r="B250" s="3" t="s">
        <v>25</v>
      </c>
      <c r="C250" s="4">
        <v>531130</v>
      </c>
      <c r="D250" s="5" t="s">
        <v>1255</v>
      </c>
      <c r="E250" s="3" t="s">
        <v>1256</v>
      </c>
      <c r="F250" s="5" t="s">
        <v>1311</v>
      </c>
      <c r="G250" s="3" t="s">
        <v>226</v>
      </c>
      <c r="H250" s="5" t="s">
        <v>1334</v>
      </c>
      <c r="I250" s="5"/>
      <c r="J250" s="5" t="s">
        <v>1335</v>
      </c>
      <c r="K250" s="5" t="s">
        <v>1336</v>
      </c>
      <c r="L250" s="5" t="s">
        <v>78</v>
      </c>
      <c r="M250" s="5" t="s">
        <v>161</v>
      </c>
      <c r="N250" s="5" t="s">
        <v>162</v>
      </c>
      <c r="O250" s="5" t="s">
        <v>98</v>
      </c>
      <c r="P250" s="5" t="s">
        <v>39</v>
      </c>
      <c r="Q250" s="5" t="s">
        <v>108</v>
      </c>
      <c r="R250" s="5" t="s">
        <v>41</v>
      </c>
      <c r="S250" s="5" t="s">
        <v>1018</v>
      </c>
      <c r="T250" s="5" t="s">
        <v>1337</v>
      </c>
      <c r="U250" s="5"/>
      <c r="V250" s="5"/>
      <c r="W250" s="6"/>
      <c r="X250" s="5"/>
      <c r="Y250" s="7"/>
    </row>
    <row r="251" spans="1:25" x14ac:dyDescent="0.25">
      <c r="A251" s="8">
        <v>53</v>
      </c>
      <c r="B251" s="8" t="s">
        <v>25</v>
      </c>
      <c r="C251" s="9">
        <v>531130</v>
      </c>
      <c r="D251" s="10" t="s">
        <v>1255</v>
      </c>
      <c r="E251" s="8" t="s">
        <v>1256</v>
      </c>
      <c r="F251" s="10" t="s">
        <v>1311</v>
      </c>
      <c r="G251" s="8" t="s">
        <v>226</v>
      </c>
      <c r="H251" s="10" t="s">
        <v>1338</v>
      </c>
      <c r="I251" s="10"/>
      <c r="J251" s="10" t="s">
        <v>1339</v>
      </c>
      <c r="K251" s="10" t="s">
        <v>1340</v>
      </c>
      <c r="L251" s="10" t="s">
        <v>78</v>
      </c>
      <c r="M251" s="10" t="s">
        <v>230</v>
      </c>
      <c r="N251" s="10" t="s">
        <v>1341</v>
      </c>
      <c r="O251" s="10" t="s">
        <v>246</v>
      </c>
      <c r="P251" s="10" t="s">
        <v>39</v>
      </c>
      <c r="Q251" s="10" t="s">
        <v>1342</v>
      </c>
      <c r="R251" s="10" t="s">
        <v>100</v>
      </c>
      <c r="S251" s="10" t="s">
        <v>42</v>
      </c>
      <c r="T251" s="10" t="s">
        <v>1343</v>
      </c>
      <c r="U251" s="10"/>
      <c r="V251" s="10"/>
      <c r="W251" s="11"/>
      <c r="X251" s="10"/>
      <c r="Y251" s="12"/>
    </row>
    <row r="252" spans="1:25" x14ac:dyDescent="0.25">
      <c r="A252" s="3">
        <v>53</v>
      </c>
      <c r="B252" s="3" t="s">
        <v>25</v>
      </c>
      <c r="C252" s="4">
        <v>531130</v>
      </c>
      <c r="D252" s="5" t="s">
        <v>1255</v>
      </c>
      <c r="E252" s="3" t="s">
        <v>1256</v>
      </c>
      <c r="F252" s="5" t="s">
        <v>1311</v>
      </c>
      <c r="G252" s="3" t="s">
        <v>226</v>
      </c>
      <c r="H252" s="5" t="s">
        <v>1344</v>
      </c>
      <c r="I252" s="5"/>
      <c r="J252" s="5" t="s">
        <v>1345</v>
      </c>
      <c r="K252" s="5" t="s">
        <v>1346</v>
      </c>
      <c r="L252" s="5" t="s">
        <v>78</v>
      </c>
      <c r="M252" s="5" t="s">
        <v>244</v>
      </c>
      <c r="N252" s="5" t="s">
        <v>1347</v>
      </c>
      <c r="O252" s="5" t="s">
        <v>246</v>
      </c>
      <c r="P252" s="5" t="s">
        <v>39</v>
      </c>
      <c r="Q252" s="5" t="s">
        <v>1326</v>
      </c>
      <c r="R252" s="5" t="s">
        <v>41</v>
      </c>
      <c r="S252" s="5" t="s">
        <v>137</v>
      </c>
      <c r="T252" s="5" t="s">
        <v>1348</v>
      </c>
      <c r="U252" s="5"/>
      <c r="V252" s="5"/>
      <c r="W252" s="6"/>
      <c r="X252" s="5"/>
      <c r="Y252" s="7"/>
    </row>
    <row r="253" spans="1:25" x14ac:dyDescent="0.25">
      <c r="A253" s="8">
        <v>53</v>
      </c>
      <c r="B253" s="8" t="s">
        <v>25</v>
      </c>
      <c r="C253" s="9">
        <v>531130</v>
      </c>
      <c r="D253" s="10" t="s">
        <v>1255</v>
      </c>
      <c r="E253" s="8" t="s">
        <v>1256</v>
      </c>
      <c r="F253" s="10" t="s">
        <v>1311</v>
      </c>
      <c r="G253" s="8" t="s">
        <v>226</v>
      </c>
      <c r="H253" s="10" t="s">
        <v>1349</v>
      </c>
      <c r="I253" s="10"/>
      <c r="J253" s="10" t="s">
        <v>1350</v>
      </c>
      <c r="K253" s="10" t="s">
        <v>1351</v>
      </c>
      <c r="L253" s="10" t="s">
        <v>78</v>
      </c>
      <c r="M253" s="10" t="s">
        <v>161</v>
      </c>
      <c r="N253" s="10" t="s">
        <v>162</v>
      </c>
      <c r="O253" s="10" t="s">
        <v>98</v>
      </c>
      <c r="P253" s="10" t="s">
        <v>39</v>
      </c>
      <c r="Q253" s="10" t="s">
        <v>108</v>
      </c>
      <c r="R253" s="10" t="s">
        <v>41</v>
      </c>
      <c r="S253" s="10" t="s">
        <v>137</v>
      </c>
      <c r="T253" s="10" t="s">
        <v>1352</v>
      </c>
      <c r="U253" s="10"/>
      <c r="V253" s="10"/>
      <c r="W253" s="11"/>
      <c r="X253" s="10"/>
      <c r="Y253" s="12"/>
    </row>
    <row r="254" spans="1:25" x14ac:dyDescent="0.25">
      <c r="A254" s="3">
        <v>53</v>
      </c>
      <c r="B254" s="3" t="s">
        <v>25</v>
      </c>
      <c r="C254" s="4">
        <v>531130</v>
      </c>
      <c r="D254" s="5" t="s">
        <v>1255</v>
      </c>
      <c r="E254" s="3" t="s">
        <v>1256</v>
      </c>
      <c r="F254" s="5" t="s">
        <v>1311</v>
      </c>
      <c r="G254" s="3" t="s">
        <v>226</v>
      </c>
      <c r="H254" s="5" t="s">
        <v>1353</v>
      </c>
      <c r="I254" s="5"/>
      <c r="J254" s="5" t="s">
        <v>1354</v>
      </c>
      <c r="K254" s="5" t="s">
        <v>1355</v>
      </c>
      <c r="L254" s="5" t="s">
        <v>78</v>
      </c>
      <c r="M254" s="5" t="s">
        <v>161</v>
      </c>
      <c r="N254" s="5" t="s">
        <v>162</v>
      </c>
      <c r="O254" s="5" t="s">
        <v>98</v>
      </c>
      <c r="P254" s="5" t="s">
        <v>39</v>
      </c>
      <c r="Q254" s="5" t="s">
        <v>99</v>
      </c>
      <c r="R254" s="5" t="s">
        <v>41</v>
      </c>
      <c r="S254" s="5" t="s">
        <v>331</v>
      </c>
      <c r="T254" s="5" t="s">
        <v>1356</v>
      </c>
      <c r="U254" s="5"/>
      <c r="V254" s="5"/>
      <c r="W254" s="6"/>
      <c r="X254" s="5"/>
      <c r="Y254" s="7"/>
    </row>
    <row r="255" spans="1:25" x14ac:dyDescent="0.25">
      <c r="A255" s="8">
        <v>53</v>
      </c>
      <c r="B255" s="8" t="s">
        <v>25</v>
      </c>
      <c r="C255" s="9">
        <v>531130</v>
      </c>
      <c r="D255" s="10" t="s">
        <v>1255</v>
      </c>
      <c r="E255" s="8" t="s">
        <v>1256</v>
      </c>
      <c r="F255" s="10" t="s">
        <v>1311</v>
      </c>
      <c r="G255" s="8" t="s">
        <v>226</v>
      </c>
      <c r="H255" s="10" t="s">
        <v>1357</v>
      </c>
      <c r="I255" s="10"/>
      <c r="J255" s="10" t="s">
        <v>1358</v>
      </c>
      <c r="K255" s="10" t="s">
        <v>1359</v>
      </c>
      <c r="L255" s="10" t="s">
        <v>78</v>
      </c>
      <c r="M255" s="10" t="s">
        <v>244</v>
      </c>
      <c r="N255" s="10" t="s">
        <v>1347</v>
      </c>
      <c r="O255" s="10" t="s">
        <v>246</v>
      </c>
      <c r="P255" s="10" t="s">
        <v>199</v>
      </c>
      <c r="Q255" s="10" t="s">
        <v>1326</v>
      </c>
      <c r="R255" s="10" t="s">
        <v>41</v>
      </c>
      <c r="S255" s="10" t="s">
        <v>137</v>
      </c>
      <c r="T255" s="10" t="s">
        <v>1360</v>
      </c>
      <c r="U255" s="10"/>
      <c r="V255" s="10"/>
      <c r="W255" s="11"/>
      <c r="X255" s="10"/>
      <c r="Y255" s="12"/>
    </row>
    <row r="256" spans="1:25" x14ac:dyDescent="0.25">
      <c r="A256" s="3">
        <v>53</v>
      </c>
      <c r="B256" s="3" t="s">
        <v>25</v>
      </c>
      <c r="C256" s="4">
        <v>531130</v>
      </c>
      <c r="D256" s="5" t="s">
        <v>1255</v>
      </c>
      <c r="E256" s="3" t="s">
        <v>1256</v>
      </c>
      <c r="F256" s="5" t="s">
        <v>1311</v>
      </c>
      <c r="G256" s="3" t="s">
        <v>226</v>
      </c>
      <c r="H256" s="5" t="s">
        <v>1361</v>
      </c>
      <c r="I256" s="5"/>
      <c r="J256" s="5" t="s">
        <v>1362</v>
      </c>
      <c r="K256" s="5" t="s">
        <v>1363</v>
      </c>
      <c r="L256" s="5" t="s">
        <v>78</v>
      </c>
      <c r="M256" s="5" t="s">
        <v>1364</v>
      </c>
      <c r="N256" s="5" t="s">
        <v>1365</v>
      </c>
      <c r="O256" s="5" t="s">
        <v>232</v>
      </c>
      <c r="P256" s="5" t="s">
        <v>712</v>
      </c>
      <c r="Q256" s="5" t="s">
        <v>99</v>
      </c>
      <c r="R256" s="5" t="s">
        <v>41</v>
      </c>
      <c r="S256" s="5" t="s">
        <v>272</v>
      </c>
      <c r="T256" s="5" t="s">
        <v>1366</v>
      </c>
      <c r="U256" s="5"/>
      <c r="V256" s="5"/>
      <c r="W256" s="6"/>
      <c r="X256" s="5"/>
      <c r="Y256" s="7"/>
    </row>
    <row r="257" spans="1:25" x14ac:dyDescent="0.25">
      <c r="A257" s="8">
        <v>53</v>
      </c>
      <c r="B257" s="8" t="s">
        <v>25</v>
      </c>
      <c r="C257" s="9">
        <v>531130</v>
      </c>
      <c r="D257" s="10" t="s">
        <v>1255</v>
      </c>
      <c r="E257" s="8" t="s">
        <v>1256</v>
      </c>
      <c r="F257" s="10" t="s">
        <v>1311</v>
      </c>
      <c r="G257" s="8" t="s">
        <v>226</v>
      </c>
      <c r="H257" s="10" t="s">
        <v>1367</v>
      </c>
      <c r="I257" s="10"/>
      <c r="J257" s="10" t="s">
        <v>1368</v>
      </c>
      <c r="K257" s="10" t="s">
        <v>1369</v>
      </c>
      <c r="L257" s="10" t="s">
        <v>78</v>
      </c>
      <c r="M257" s="10" t="s">
        <v>97</v>
      </c>
      <c r="N257" s="10" t="s">
        <v>97</v>
      </c>
      <c r="O257" s="10" t="s">
        <v>98</v>
      </c>
      <c r="P257" s="10" t="s">
        <v>39</v>
      </c>
      <c r="Q257" s="10" t="s">
        <v>99</v>
      </c>
      <c r="R257" s="10" t="s">
        <v>100</v>
      </c>
      <c r="S257" s="10" t="s">
        <v>1370</v>
      </c>
      <c r="T257" s="10" t="s">
        <v>1371</v>
      </c>
      <c r="U257" s="10"/>
      <c r="V257" s="10"/>
      <c r="W257" s="11"/>
      <c r="X257" s="10"/>
      <c r="Y257" s="12"/>
    </row>
    <row r="258" spans="1:25" x14ac:dyDescent="0.25">
      <c r="A258" s="3">
        <v>53</v>
      </c>
      <c r="B258" s="3" t="s">
        <v>25</v>
      </c>
      <c r="C258" s="4">
        <v>531130</v>
      </c>
      <c r="D258" s="5" t="s">
        <v>1255</v>
      </c>
      <c r="E258" s="3" t="s">
        <v>1256</v>
      </c>
      <c r="F258" s="5" t="s">
        <v>1311</v>
      </c>
      <c r="G258" s="3" t="s">
        <v>226</v>
      </c>
      <c r="H258" s="5" t="s">
        <v>1372</v>
      </c>
      <c r="I258" s="5"/>
      <c r="J258" s="5" t="s">
        <v>1373</v>
      </c>
      <c r="K258" s="5" t="s">
        <v>1374</v>
      </c>
      <c r="L258" s="5" t="s">
        <v>78</v>
      </c>
      <c r="M258" s="5" t="s">
        <v>438</v>
      </c>
      <c r="N258" s="5" t="s">
        <v>439</v>
      </c>
      <c r="O258" s="5" t="s">
        <v>246</v>
      </c>
      <c r="P258" s="5" t="s">
        <v>39</v>
      </c>
      <c r="Q258" s="5" t="s">
        <v>1375</v>
      </c>
      <c r="R258" s="5" t="s">
        <v>41</v>
      </c>
      <c r="S258" s="5" t="s">
        <v>82</v>
      </c>
      <c r="T258" s="5" t="s">
        <v>1376</v>
      </c>
      <c r="U258" s="5"/>
      <c r="V258" s="5"/>
      <c r="W258" s="6"/>
      <c r="X258" s="5"/>
      <c r="Y258" s="7"/>
    </row>
    <row r="259" spans="1:25" x14ac:dyDescent="0.25">
      <c r="A259" s="8">
        <v>53</v>
      </c>
      <c r="B259" s="8" t="s">
        <v>25</v>
      </c>
      <c r="C259" s="9">
        <v>531130</v>
      </c>
      <c r="D259" s="10" t="s">
        <v>1255</v>
      </c>
      <c r="E259" s="8" t="s">
        <v>1256</v>
      </c>
      <c r="F259" s="10" t="s">
        <v>1311</v>
      </c>
      <c r="G259" s="8" t="s">
        <v>226</v>
      </c>
      <c r="H259" s="10" t="s">
        <v>1377</v>
      </c>
      <c r="I259" s="10"/>
      <c r="J259" s="10" t="s">
        <v>1378</v>
      </c>
      <c r="K259" s="10" t="s">
        <v>1379</v>
      </c>
      <c r="L259" s="10" t="s">
        <v>78</v>
      </c>
      <c r="M259" s="10" t="s">
        <v>97</v>
      </c>
      <c r="N259" s="10" t="s">
        <v>97</v>
      </c>
      <c r="O259" s="10" t="s">
        <v>98</v>
      </c>
      <c r="P259" s="10" t="s">
        <v>128</v>
      </c>
      <c r="Q259" s="10" t="s">
        <v>99</v>
      </c>
      <c r="R259" s="10" t="s">
        <v>385</v>
      </c>
      <c r="S259" s="10" t="s">
        <v>1380</v>
      </c>
      <c r="T259" s="10" t="s">
        <v>1356</v>
      </c>
      <c r="U259" s="10"/>
      <c r="V259" s="10"/>
      <c r="W259" s="11"/>
      <c r="X259" s="10"/>
      <c r="Y259" s="12"/>
    </row>
    <row r="260" spans="1:25" x14ac:dyDescent="0.25">
      <c r="A260" s="3">
        <v>53</v>
      </c>
      <c r="B260" s="3" t="s">
        <v>25</v>
      </c>
      <c r="C260" s="4">
        <v>531130</v>
      </c>
      <c r="D260" s="5" t="s">
        <v>1255</v>
      </c>
      <c r="E260" s="3" t="s">
        <v>1256</v>
      </c>
      <c r="F260" s="5" t="s">
        <v>1311</v>
      </c>
      <c r="G260" s="3" t="s">
        <v>226</v>
      </c>
      <c r="H260" s="5" t="s">
        <v>1381</v>
      </c>
      <c r="I260" s="5"/>
      <c r="J260" s="5" t="s">
        <v>1382</v>
      </c>
      <c r="K260" s="5" t="s">
        <v>1383</v>
      </c>
      <c r="L260" s="5" t="s">
        <v>78</v>
      </c>
      <c r="M260" s="5" t="s">
        <v>1364</v>
      </c>
      <c r="N260" s="5" t="s">
        <v>1384</v>
      </c>
      <c r="O260" s="5" t="s">
        <v>246</v>
      </c>
      <c r="P260" s="5" t="s">
        <v>128</v>
      </c>
      <c r="Q260" s="5" t="s">
        <v>99</v>
      </c>
      <c r="R260" s="5" t="s">
        <v>385</v>
      </c>
      <c r="S260" s="5" t="s">
        <v>1385</v>
      </c>
      <c r="T260" s="5" t="s">
        <v>1386</v>
      </c>
      <c r="U260" s="5"/>
      <c r="V260" s="5"/>
      <c r="W260" s="6"/>
      <c r="X260" s="5"/>
      <c r="Y260" s="7"/>
    </row>
    <row r="261" spans="1:25" x14ac:dyDescent="0.25">
      <c r="A261" s="8">
        <v>53</v>
      </c>
      <c r="B261" s="8" t="s">
        <v>25</v>
      </c>
      <c r="C261" s="9">
        <v>531130</v>
      </c>
      <c r="D261" s="10" t="s">
        <v>1255</v>
      </c>
      <c r="E261" s="8" t="s">
        <v>1256</v>
      </c>
      <c r="F261" s="10" t="s">
        <v>1311</v>
      </c>
      <c r="G261" s="8" t="s">
        <v>226</v>
      </c>
      <c r="H261" s="10" t="s">
        <v>1387</v>
      </c>
      <c r="I261" s="10"/>
      <c r="J261" s="10" t="s">
        <v>1388</v>
      </c>
      <c r="K261" s="10" t="s">
        <v>1389</v>
      </c>
      <c r="L261" s="10" t="s">
        <v>78</v>
      </c>
      <c r="M261" s="10" t="s">
        <v>244</v>
      </c>
      <c r="N261" s="10" t="s">
        <v>1390</v>
      </c>
      <c r="O261" s="10" t="s">
        <v>246</v>
      </c>
      <c r="P261" s="10" t="s">
        <v>39</v>
      </c>
      <c r="Q261" s="10" t="s">
        <v>298</v>
      </c>
      <c r="R261" s="10" t="s">
        <v>385</v>
      </c>
      <c r="S261" s="10" t="s">
        <v>1385</v>
      </c>
      <c r="T261" s="10" t="s">
        <v>1391</v>
      </c>
      <c r="U261" s="10"/>
      <c r="V261" s="10"/>
      <c r="W261" s="11"/>
      <c r="X261" s="10"/>
      <c r="Y261" s="12"/>
    </row>
    <row r="262" spans="1:25" x14ac:dyDescent="0.25">
      <c r="A262" s="3">
        <v>53</v>
      </c>
      <c r="B262" s="3" t="s">
        <v>25</v>
      </c>
      <c r="C262" s="4">
        <v>531130</v>
      </c>
      <c r="D262" s="5" t="s">
        <v>1255</v>
      </c>
      <c r="E262" s="3" t="s">
        <v>1256</v>
      </c>
      <c r="F262" s="5" t="s">
        <v>1392</v>
      </c>
      <c r="G262" s="3" t="s">
        <v>226</v>
      </c>
      <c r="H262" s="5" t="s">
        <v>1393</v>
      </c>
      <c r="I262" s="5"/>
      <c r="J262" s="5" t="s">
        <v>1394</v>
      </c>
      <c r="K262" s="5" t="s">
        <v>1395</v>
      </c>
      <c r="L262" s="5" t="s">
        <v>78</v>
      </c>
      <c r="M262" s="5" t="s">
        <v>36</v>
      </c>
      <c r="N262" s="5" t="s">
        <v>260</v>
      </c>
      <c r="O262" s="5" t="s">
        <v>38</v>
      </c>
      <c r="P262" s="5" t="s">
        <v>39</v>
      </c>
      <c r="Q262" s="5" t="s">
        <v>298</v>
      </c>
      <c r="R262" s="5" t="s">
        <v>100</v>
      </c>
      <c r="S262" s="5" t="s">
        <v>90</v>
      </c>
      <c r="T262" s="5" t="s">
        <v>1396</v>
      </c>
      <c r="U262" s="5"/>
      <c r="V262" s="5"/>
      <c r="W262" s="6"/>
      <c r="X262" s="5"/>
      <c r="Y262" s="7"/>
    </row>
    <row r="263" spans="1:25" x14ac:dyDescent="0.25">
      <c r="A263" s="8">
        <v>53</v>
      </c>
      <c r="B263" s="8" t="s">
        <v>25</v>
      </c>
      <c r="C263" s="9">
        <v>531130</v>
      </c>
      <c r="D263" s="10" t="s">
        <v>1255</v>
      </c>
      <c r="E263" s="8" t="s">
        <v>1256</v>
      </c>
      <c r="F263" s="10" t="s">
        <v>1392</v>
      </c>
      <c r="G263" s="8" t="s">
        <v>226</v>
      </c>
      <c r="H263" s="10" t="s">
        <v>1397</v>
      </c>
      <c r="I263" s="10"/>
      <c r="J263" s="10" t="s">
        <v>1034</v>
      </c>
      <c r="K263" s="10" t="s">
        <v>1398</v>
      </c>
      <c r="L263" s="10" t="s">
        <v>78</v>
      </c>
      <c r="M263" s="10" t="s">
        <v>161</v>
      </c>
      <c r="N263" s="10" t="s">
        <v>162</v>
      </c>
      <c r="O263" s="10" t="s">
        <v>98</v>
      </c>
      <c r="P263" s="10" t="s">
        <v>39</v>
      </c>
      <c r="Q263" s="10" t="s">
        <v>99</v>
      </c>
      <c r="R263" s="10" t="s">
        <v>385</v>
      </c>
      <c r="S263" s="10" t="s">
        <v>218</v>
      </c>
      <c r="T263" s="10" t="s">
        <v>1396</v>
      </c>
      <c r="U263" s="10"/>
      <c r="V263" s="10"/>
      <c r="W263" s="11"/>
      <c r="X263" s="10"/>
      <c r="Y263" s="12"/>
    </row>
    <row r="264" spans="1:25" x14ac:dyDescent="0.25">
      <c r="A264" s="3">
        <v>53</v>
      </c>
      <c r="B264" s="3" t="s">
        <v>25</v>
      </c>
      <c r="C264" s="4">
        <v>531130</v>
      </c>
      <c r="D264" s="5" t="s">
        <v>1255</v>
      </c>
      <c r="E264" s="3" t="s">
        <v>1256</v>
      </c>
      <c r="F264" s="5" t="s">
        <v>1392</v>
      </c>
      <c r="G264" s="3" t="s">
        <v>226</v>
      </c>
      <c r="H264" s="5" t="s">
        <v>1399</v>
      </c>
      <c r="I264" s="5"/>
      <c r="J264" s="5" t="s">
        <v>1400</v>
      </c>
      <c r="K264" s="5" t="s">
        <v>1401</v>
      </c>
      <c r="L264" s="5" t="s">
        <v>78</v>
      </c>
      <c r="M264" s="5" t="s">
        <v>97</v>
      </c>
      <c r="N264" s="5" t="s">
        <v>97</v>
      </c>
      <c r="O264" s="5" t="s">
        <v>98</v>
      </c>
      <c r="P264" s="5" t="s">
        <v>199</v>
      </c>
      <c r="Q264" s="5" t="s">
        <v>1402</v>
      </c>
      <c r="R264" s="5" t="s">
        <v>100</v>
      </c>
      <c r="S264" s="5" t="s">
        <v>253</v>
      </c>
      <c r="T264" s="5" t="s">
        <v>1403</v>
      </c>
      <c r="U264" s="5"/>
      <c r="V264" s="5"/>
      <c r="W264" s="6"/>
      <c r="X264" s="5"/>
      <c r="Y264" s="7"/>
    </row>
    <row r="265" spans="1:25" x14ac:dyDescent="0.25">
      <c r="A265" s="8">
        <v>53</v>
      </c>
      <c r="B265" s="8" t="s">
        <v>25</v>
      </c>
      <c r="C265" s="9">
        <v>531130</v>
      </c>
      <c r="D265" s="10" t="s">
        <v>1255</v>
      </c>
      <c r="E265" s="8" t="s">
        <v>1256</v>
      </c>
      <c r="F265" s="10" t="s">
        <v>1392</v>
      </c>
      <c r="G265" s="8" t="s">
        <v>226</v>
      </c>
      <c r="H265" s="10" t="s">
        <v>1404</v>
      </c>
      <c r="I265" s="10"/>
      <c r="J265" s="10" t="s">
        <v>1405</v>
      </c>
      <c r="K265" s="10" t="s">
        <v>1406</v>
      </c>
      <c r="L265" s="10" t="s">
        <v>78</v>
      </c>
      <c r="M265" s="10" t="s">
        <v>97</v>
      </c>
      <c r="N265" s="10" t="s">
        <v>97</v>
      </c>
      <c r="O265" s="10" t="s">
        <v>98</v>
      </c>
      <c r="P265" s="10" t="s">
        <v>128</v>
      </c>
      <c r="Q265" s="10" t="s">
        <v>1407</v>
      </c>
      <c r="R265" s="10" t="s">
        <v>100</v>
      </c>
      <c r="S265" s="10" t="s">
        <v>607</v>
      </c>
      <c r="T265" s="10" t="s">
        <v>1408</v>
      </c>
      <c r="U265" s="10"/>
      <c r="V265" s="10"/>
      <c r="W265" s="11"/>
      <c r="X265" s="10"/>
      <c r="Y265" s="12"/>
    </row>
    <row r="266" spans="1:25" x14ac:dyDescent="0.25">
      <c r="A266" s="3">
        <v>53</v>
      </c>
      <c r="B266" s="3" t="s">
        <v>25</v>
      </c>
      <c r="C266" s="4">
        <v>531130</v>
      </c>
      <c r="D266" s="5" t="s">
        <v>1255</v>
      </c>
      <c r="E266" s="3" t="s">
        <v>1256</v>
      </c>
      <c r="F266" s="5" t="s">
        <v>1392</v>
      </c>
      <c r="G266" s="3" t="s">
        <v>226</v>
      </c>
      <c r="H266" s="5" t="s">
        <v>1409</v>
      </c>
      <c r="I266" s="5"/>
      <c r="J266" s="5" t="s">
        <v>1410</v>
      </c>
      <c r="K266" s="5" t="s">
        <v>1411</v>
      </c>
      <c r="L266" s="5" t="s">
        <v>78</v>
      </c>
      <c r="M266" s="5" t="s">
        <v>36</v>
      </c>
      <c r="N266" s="5" t="s">
        <v>1293</v>
      </c>
      <c r="O266" s="5" t="s">
        <v>38</v>
      </c>
      <c r="P266" s="5" t="s">
        <v>39</v>
      </c>
      <c r="Q266" s="5" t="s">
        <v>1402</v>
      </c>
      <c r="R266" s="5" t="s">
        <v>100</v>
      </c>
      <c r="S266" s="5" t="s">
        <v>1412</v>
      </c>
      <c r="T266" s="5" t="s">
        <v>1413</v>
      </c>
      <c r="U266" s="5"/>
      <c r="V266" s="5"/>
      <c r="W266" s="6"/>
      <c r="X266" s="5"/>
      <c r="Y266" s="7"/>
    </row>
    <row r="267" spans="1:25" x14ac:dyDescent="0.25">
      <c r="A267" s="8">
        <v>53</v>
      </c>
      <c r="B267" s="8" t="s">
        <v>25</v>
      </c>
      <c r="C267" s="9">
        <v>531130</v>
      </c>
      <c r="D267" s="10" t="s">
        <v>1255</v>
      </c>
      <c r="E267" s="8" t="s">
        <v>1256</v>
      </c>
      <c r="F267" s="10" t="s">
        <v>1392</v>
      </c>
      <c r="G267" s="8" t="s">
        <v>226</v>
      </c>
      <c r="H267" s="10" t="s">
        <v>1414</v>
      </c>
      <c r="I267" s="10"/>
      <c r="J267" s="10" t="s">
        <v>1415</v>
      </c>
      <c r="K267" s="10" t="s">
        <v>1416</v>
      </c>
      <c r="L267" s="10" t="s">
        <v>78</v>
      </c>
      <c r="M267" s="10" t="s">
        <v>244</v>
      </c>
      <c r="N267" s="10" t="s">
        <v>232</v>
      </c>
      <c r="O267" s="10" t="s">
        <v>232</v>
      </c>
      <c r="P267" s="10" t="s">
        <v>199</v>
      </c>
      <c r="Q267" s="10" t="s">
        <v>1417</v>
      </c>
      <c r="R267" s="10" t="s">
        <v>41</v>
      </c>
      <c r="S267" s="10" t="s">
        <v>137</v>
      </c>
      <c r="T267" s="10" t="s">
        <v>1418</v>
      </c>
      <c r="U267" s="10"/>
      <c r="V267" s="10"/>
      <c r="W267" s="11"/>
      <c r="X267" s="10"/>
      <c r="Y267" s="12"/>
    </row>
    <row r="268" spans="1:25" x14ac:dyDescent="0.25">
      <c r="A268" s="3">
        <v>53</v>
      </c>
      <c r="B268" s="3" t="s">
        <v>25</v>
      </c>
      <c r="C268" s="4">
        <v>531130</v>
      </c>
      <c r="D268" s="5" t="s">
        <v>1255</v>
      </c>
      <c r="E268" s="3" t="s">
        <v>1256</v>
      </c>
      <c r="F268" s="5" t="s">
        <v>1392</v>
      </c>
      <c r="G268" s="3" t="s">
        <v>226</v>
      </c>
      <c r="H268" s="5" t="s">
        <v>1419</v>
      </c>
      <c r="I268" s="5"/>
      <c r="J268" s="5" t="s">
        <v>1420</v>
      </c>
      <c r="K268" s="5" t="s">
        <v>1421</v>
      </c>
      <c r="L268" s="5" t="s">
        <v>78</v>
      </c>
      <c r="M268" s="5" t="s">
        <v>161</v>
      </c>
      <c r="N268" s="5" t="s">
        <v>162</v>
      </c>
      <c r="O268" s="5" t="s">
        <v>98</v>
      </c>
      <c r="P268" s="5" t="s">
        <v>39</v>
      </c>
      <c r="Q268" s="5" t="s">
        <v>1417</v>
      </c>
      <c r="R268" s="5" t="s">
        <v>100</v>
      </c>
      <c r="S268" s="5" t="s">
        <v>52</v>
      </c>
      <c r="T268" s="5" t="s">
        <v>1422</v>
      </c>
      <c r="U268" s="5"/>
      <c r="V268" s="5"/>
      <c r="W268" s="6"/>
      <c r="X268" s="5"/>
      <c r="Y268" s="7"/>
    </row>
    <row r="269" spans="1:25" x14ac:dyDescent="0.25">
      <c r="A269" s="8">
        <v>53</v>
      </c>
      <c r="B269" s="8" t="s">
        <v>25</v>
      </c>
      <c r="C269" s="9">
        <v>531130</v>
      </c>
      <c r="D269" s="10" t="s">
        <v>1255</v>
      </c>
      <c r="E269" s="8" t="s">
        <v>1256</v>
      </c>
      <c r="F269" s="10" t="s">
        <v>1392</v>
      </c>
      <c r="G269" s="8" t="s">
        <v>226</v>
      </c>
      <c r="H269" s="10" t="s">
        <v>1423</v>
      </c>
      <c r="I269" s="10"/>
      <c r="J269" s="10" t="s">
        <v>1424</v>
      </c>
      <c r="K269" s="10" t="s">
        <v>1425</v>
      </c>
      <c r="L269" s="10" t="s">
        <v>78</v>
      </c>
      <c r="M269" s="10" t="s">
        <v>268</v>
      </c>
      <c r="N269" s="10" t="s">
        <v>269</v>
      </c>
      <c r="O269" s="10" t="s">
        <v>270</v>
      </c>
      <c r="P269" s="10" t="s">
        <v>39</v>
      </c>
      <c r="Q269" s="10" t="s">
        <v>1426</v>
      </c>
      <c r="R269" s="10" t="s">
        <v>385</v>
      </c>
      <c r="S269" s="10" t="s">
        <v>253</v>
      </c>
      <c r="T269" s="10" t="s">
        <v>1360</v>
      </c>
      <c r="U269" s="10"/>
      <c r="V269" s="10"/>
      <c r="W269" s="11"/>
      <c r="X269" s="10"/>
      <c r="Y269" s="12"/>
    </row>
    <row r="270" spans="1:25" x14ac:dyDescent="0.25">
      <c r="A270" s="3">
        <v>53</v>
      </c>
      <c r="B270" s="3" t="s">
        <v>25</v>
      </c>
      <c r="C270" s="4">
        <v>531130</v>
      </c>
      <c r="D270" s="5" t="s">
        <v>1255</v>
      </c>
      <c r="E270" s="3" t="s">
        <v>1256</v>
      </c>
      <c r="F270" s="5" t="s">
        <v>1392</v>
      </c>
      <c r="G270" s="3" t="s">
        <v>226</v>
      </c>
      <c r="H270" s="5" t="s">
        <v>1427</v>
      </c>
      <c r="I270" s="5"/>
      <c r="J270" s="5" t="s">
        <v>1428</v>
      </c>
      <c r="K270" s="5" t="s">
        <v>1429</v>
      </c>
      <c r="L270" s="5" t="s">
        <v>78</v>
      </c>
      <c r="M270" s="5" t="s">
        <v>161</v>
      </c>
      <c r="N270" s="5" t="s">
        <v>162</v>
      </c>
      <c r="O270" s="5" t="s">
        <v>98</v>
      </c>
      <c r="P270" s="5" t="s">
        <v>39</v>
      </c>
      <c r="Q270" s="5" t="s">
        <v>99</v>
      </c>
      <c r="R270" s="5" t="s">
        <v>100</v>
      </c>
      <c r="S270" s="5" t="s">
        <v>52</v>
      </c>
      <c r="T270" s="5" t="s">
        <v>1360</v>
      </c>
      <c r="U270" s="5"/>
      <c r="V270" s="5"/>
      <c r="W270" s="6"/>
      <c r="X270" s="5"/>
      <c r="Y270" s="7"/>
    </row>
    <row r="271" spans="1:25" x14ac:dyDescent="0.25">
      <c r="A271" s="8">
        <v>53</v>
      </c>
      <c r="B271" s="8" t="s">
        <v>25</v>
      </c>
      <c r="C271" s="9">
        <v>531130</v>
      </c>
      <c r="D271" s="10" t="s">
        <v>1255</v>
      </c>
      <c r="E271" s="8" t="s">
        <v>1256</v>
      </c>
      <c r="F271" s="10" t="s">
        <v>1392</v>
      </c>
      <c r="G271" s="8" t="s">
        <v>226</v>
      </c>
      <c r="H271" s="10" t="s">
        <v>1430</v>
      </c>
      <c r="I271" s="10"/>
      <c r="J271" s="10" t="s">
        <v>1431</v>
      </c>
      <c r="K271" s="10" t="s">
        <v>1432</v>
      </c>
      <c r="L271" s="10" t="s">
        <v>78</v>
      </c>
      <c r="M271" s="10" t="s">
        <v>36</v>
      </c>
      <c r="N271" s="10" t="s">
        <v>260</v>
      </c>
      <c r="O271" s="10" t="s">
        <v>38</v>
      </c>
      <c r="P271" s="10" t="s">
        <v>39</v>
      </c>
      <c r="Q271" s="10" t="s">
        <v>298</v>
      </c>
      <c r="R271" s="10" t="s">
        <v>100</v>
      </c>
      <c r="S271" s="10" t="s">
        <v>90</v>
      </c>
      <c r="T271" s="10" t="s">
        <v>1396</v>
      </c>
      <c r="U271" s="10"/>
      <c r="V271" s="10"/>
      <c r="W271" s="11"/>
      <c r="X271" s="10"/>
      <c r="Y271" s="12"/>
    </row>
    <row r="272" spans="1:25" x14ac:dyDescent="0.25">
      <c r="A272" s="3">
        <v>53</v>
      </c>
      <c r="B272" s="3" t="s">
        <v>25</v>
      </c>
      <c r="C272" s="4">
        <v>531130</v>
      </c>
      <c r="D272" s="5" t="s">
        <v>1255</v>
      </c>
      <c r="E272" s="3" t="s">
        <v>1256</v>
      </c>
      <c r="F272" s="5" t="s">
        <v>1433</v>
      </c>
      <c r="G272" s="3" t="s">
        <v>226</v>
      </c>
      <c r="H272" s="5" t="s">
        <v>1434</v>
      </c>
      <c r="I272" s="5"/>
      <c r="J272" s="5" t="s">
        <v>1435</v>
      </c>
      <c r="K272" s="5" t="s">
        <v>1436</v>
      </c>
      <c r="L272" s="5" t="s">
        <v>78</v>
      </c>
      <c r="M272" s="5" t="s">
        <v>244</v>
      </c>
      <c r="N272" s="5" t="s">
        <v>1175</v>
      </c>
      <c r="O272" s="5" t="s">
        <v>246</v>
      </c>
      <c r="P272" s="5" t="s">
        <v>39</v>
      </c>
      <c r="Q272" s="5" t="s">
        <v>1326</v>
      </c>
      <c r="R272" s="5" t="s">
        <v>581</v>
      </c>
      <c r="S272" s="5" t="s">
        <v>90</v>
      </c>
      <c r="T272" s="5" t="s">
        <v>1437</v>
      </c>
      <c r="U272" s="5"/>
      <c r="V272" s="5"/>
      <c r="W272" s="6"/>
      <c r="X272" s="5"/>
      <c r="Y272" s="7"/>
    </row>
    <row r="273" spans="1:25" x14ac:dyDescent="0.25">
      <c r="A273" s="8">
        <v>53</v>
      </c>
      <c r="B273" s="8" t="s">
        <v>25</v>
      </c>
      <c r="C273" s="9">
        <v>531130</v>
      </c>
      <c r="D273" s="10" t="s">
        <v>1255</v>
      </c>
      <c r="E273" s="8" t="s">
        <v>1256</v>
      </c>
      <c r="F273" s="10" t="s">
        <v>1433</v>
      </c>
      <c r="G273" s="8" t="s">
        <v>226</v>
      </c>
      <c r="H273" s="10" t="s">
        <v>1438</v>
      </c>
      <c r="I273" s="10"/>
      <c r="J273" s="10" t="s">
        <v>1439</v>
      </c>
      <c r="K273" s="10" t="s">
        <v>1440</v>
      </c>
      <c r="L273" s="10" t="s">
        <v>78</v>
      </c>
      <c r="M273" s="10" t="s">
        <v>755</v>
      </c>
      <c r="N273" s="10" t="s">
        <v>1441</v>
      </c>
      <c r="O273" s="10" t="s">
        <v>1442</v>
      </c>
      <c r="P273" s="10" t="s">
        <v>39</v>
      </c>
      <c r="Q273" s="10" t="s">
        <v>1326</v>
      </c>
      <c r="R273" s="10" t="s">
        <v>1443</v>
      </c>
      <c r="S273" s="10" t="s">
        <v>90</v>
      </c>
      <c r="T273" s="10" t="s">
        <v>1444</v>
      </c>
      <c r="U273" s="10"/>
      <c r="V273" s="10"/>
      <c r="W273" s="11"/>
      <c r="X273" s="10"/>
      <c r="Y273" s="12"/>
    </row>
    <row r="274" spans="1:25" x14ac:dyDescent="0.25">
      <c r="A274" s="3">
        <v>53</v>
      </c>
      <c r="B274" s="3" t="s">
        <v>25</v>
      </c>
      <c r="C274" s="4">
        <v>531130</v>
      </c>
      <c r="D274" s="5" t="s">
        <v>1255</v>
      </c>
      <c r="E274" s="3" t="s">
        <v>1256</v>
      </c>
      <c r="F274" s="5" t="s">
        <v>1433</v>
      </c>
      <c r="G274" s="3" t="s">
        <v>226</v>
      </c>
      <c r="H274" s="5" t="s">
        <v>1445</v>
      </c>
      <c r="I274" s="5"/>
      <c r="J274" s="5" t="s">
        <v>1446</v>
      </c>
      <c r="K274" s="5" t="s">
        <v>1447</v>
      </c>
      <c r="L274" s="5" t="s">
        <v>78</v>
      </c>
      <c r="M274" s="5" t="s">
        <v>161</v>
      </c>
      <c r="N274" s="5" t="s">
        <v>162</v>
      </c>
      <c r="O274" s="5" t="s">
        <v>98</v>
      </c>
      <c r="P274" s="5" t="s">
        <v>39</v>
      </c>
      <c r="Q274" s="5" t="s">
        <v>99</v>
      </c>
      <c r="R274" s="5" t="s">
        <v>41</v>
      </c>
      <c r="S274" s="5" t="s">
        <v>82</v>
      </c>
      <c r="T274" s="5" t="s">
        <v>1448</v>
      </c>
      <c r="U274" s="5"/>
      <c r="V274" s="5"/>
      <c r="W274" s="6"/>
      <c r="X274" s="5"/>
      <c r="Y274" s="7"/>
    </row>
    <row r="275" spans="1:25" x14ac:dyDescent="0.25">
      <c r="A275" s="8">
        <v>53</v>
      </c>
      <c r="B275" s="8" t="s">
        <v>25</v>
      </c>
      <c r="C275" s="9">
        <v>531130</v>
      </c>
      <c r="D275" s="10" t="s">
        <v>1255</v>
      </c>
      <c r="E275" s="8" t="s">
        <v>1256</v>
      </c>
      <c r="F275" s="10" t="s">
        <v>1433</v>
      </c>
      <c r="G275" s="8" t="s">
        <v>226</v>
      </c>
      <c r="H275" s="10" t="s">
        <v>1449</v>
      </c>
      <c r="I275" s="10"/>
      <c r="J275" s="10" t="s">
        <v>1450</v>
      </c>
      <c r="K275" s="10" t="s">
        <v>1451</v>
      </c>
      <c r="L275" s="10" t="s">
        <v>78</v>
      </c>
      <c r="M275" s="10" t="s">
        <v>244</v>
      </c>
      <c r="N275" s="10" t="s">
        <v>232</v>
      </c>
      <c r="O275" s="10" t="s">
        <v>232</v>
      </c>
      <c r="P275" s="10" t="s">
        <v>71</v>
      </c>
      <c r="Q275" s="10" t="s">
        <v>1452</v>
      </c>
      <c r="R275" s="10" t="s">
        <v>41</v>
      </c>
      <c r="S275" s="10" t="s">
        <v>82</v>
      </c>
      <c r="T275" s="10" t="s">
        <v>1453</v>
      </c>
      <c r="U275" s="10"/>
      <c r="V275" s="10"/>
      <c r="W275" s="11"/>
      <c r="X275" s="10"/>
      <c r="Y275" s="12"/>
    </row>
    <row r="276" spans="1:25" x14ac:dyDescent="0.25">
      <c r="A276" s="3">
        <v>53</v>
      </c>
      <c r="B276" s="3" t="s">
        <v>25</v>
      </c>
      <c r="C276" s="4">
        <v>531130</v>
      </c>
      <c r="D276" s="5" t="s">
        <v>1255</v>
      </c>
      <c r="E276" s="3" t="s">
        <v>1256</v>
      </c>
      <c r="F276" s="5" t="s">
        <v>1433</v>
      </c>
      <c r="G276" s="3" t="s">
        <v>226</v>
      </c>
      <c r="H276" s="5" t="s">
        <v>1454</v>
      </c>
      <c r="I276" s="5"/>
      <c r="J276" s="5" t="s">
        <v>1455</v>
      </c>
      <c r="K276" s="5" t="s">
        <v>1456</v>
      </c>
      <c r="L276" s="5" t="s">
        <v>78</v>
      </c>
      <c r="M276" s="5" t="s">
        <v>268</v>
      </c>
      <c r="N276" s="5" t="s">
        <v>269</v>
      </c>
      <c r="O276" s="5" t="s">
        <v>270</v>
      </c>
      <c r="P276" s="5" t="s">
        <v>39</v>
      </c>
      <c r="Q276" s="5" t="s">
        <v>1407</v>
      </c>
      <c r="R276" s="5" t="s">
        <v>100</v>
      </c>
      <c r="S276" s="5" t="s">
        <v>253</v>
      </c>
      <c r="T276" s="5" t="s">
        <v>1457</v>
      </c>
      <c r="U276" s="5"/>
      <c r="V276" s="5"/>
      <c r="W276" s="6"/>
      <c r="X276" s="5"/>
      <c r="Y276" s="7"/>
    </row>
    <row r="277" spans="1:25" x14ac:dyDescent="0.25">
      <c r="A277" s="8">
        <v>53</v>
      </c>
      <c r="B277" s="8" t="s">
        <v>25</v>
      </c>
      <c r="C277" s="9">
        <v>531130</v>
      </c>
      <c r="D277" s="10" t="s">
        <v>1255</v>
      </c>
      <c r="E277" s="8" t="s">
        <v>1256</v>
      </c>
      <c r="F277" s="10" t="s">
        <v>1433</v>
      </c>
      <c r="G277" s="8" t="s">
        <v>226</v>
      </c>
      <c r="H277" s="10" t="s">
        <v>1458</v>
      </c>
      <c r="I277" s="10"/>
      <c r="J277" s="10" t="s">
        <v>1459</v>
      </c>
      <c r="K277" s="10" t="s">
        <v>1460</v>
      </c>
      <c r="L277" s="10" t="s">
        <v>78</v>
      </c>
      <c r="M277" s="10" t="s">
        <v>244</v>
      </c>
      <c r="N277" s="10" t="s">
        <v>409</v>
      </c>
      <c r="O277" s="10" t="s">
        <v>246</v>
      </c>
      <c r="P277" s="10" t="s">
        <v>39</v>
      </c>
      <c r="Q277" s="10" t="s">
        <v>99</v>
      </c>
      <c r="R277" s="10" t="s">
        <v>1136</v>
      </c>
      <c r="S277" s="10" t="s">
        <v>90</v>
      </c>
      <c r="T277" s="10" t="s">
        <v>1448</v>
      </c>
      <c r="U277" s="10"/>
      <c r="V277" s="10"/>
      <c r="W277" s="11"/>
      <c r="X277" s="10"/>
      <c r="Y277" s="12"/>
    </row>
    <row r="278" spans="1:25" x14ac:dyDescent="0.25">
      <c r="A278" s="3">
        <v>53</v>
      </c>
      <c r="B278" s="3" t="s">
        <v>25</v>
      </c>
      <c r="C278" s="4">
        <v>531130</v>
      </c>
      <c r="D278" s="5" t="s">
        <v>1255</v>
      </c>
      <c r="E278" s="3" t="s">
        <v>1256</v>
      </c>
      <c r="F278" s="5" t="s">
        <v>1433</v>
      </c>
      <c r="G278" s="3" t="s">
        <v>226</v>
      </c>
      <c r="H278" s="5" t="s">
        <v>1461</v>
      </c>
      <c r="I278" s="5"/>
      <c r="J278" s="5" t="s">
        <v>1462</v>
      </c>
      <c r="K278" s="5" t="s">
        <v>1463</v>
      </c>
      <c r="L278" s="5" t="s">
        <v>78</v>
      </c>
      <c r="M278" s="5" t="s">
        <v>36</v>
      </c>
      <c r="N278" s="5" t="s">
        <v>142</v>
      </c>
      <c r="O278" s="5" t="s">
        <v>38</v>
      </c>
      <c r="P278" s="5" t="s">
        <v>39</v>
      </c>
      <c r="Q278" s="5" t="s">
        <v>99</v>
      </c>
      <c r="R278" s="5" t="s">
        <v>41</v>
      </c>
      <c r="S278" s="5" t="s">
        <v>700</v>
      </c>
      <c r="T278" s="5" t="s">
        <v>1464</v>
      </c>
      <c r="U278" s="5"/>
      <c r="V278" s="5"/>
      <c r="W278" s="6"/>
      <c r="X278" s="5"/>
      <c r="Y278" s="7"/>
    </row>
    <row r="279" spans="1:25" x14ac:dyDescent="0.25">
      <c r="A279" s="8">
        <v>53</v>
      </c>
      <c r="B279" s="8" t="s">
        <v>25</v>
      </c>
      <c r="C279" s="9">
        <v>531130</v>
      </c>
      <c r="D279" s="10" t="s">
        <v>1255</v>
      </c>
      <c r="E279" s="8" t="s">
        <v>1256</v>
      </c>
      <c r="F279" s="10" t="s">
        <v>1433</v>
      </c>
      <c r="G279" s="8" t="s">
        <v>226</v>
      </c>
      <c r="H279" s="10" t="s">
        <v>1465</v>
      </c>
      <c r="I279" s="10"/>
      <c r="J279" s="10" t="s">
        <v>1466</v>
      </c>
      <c r="K279" s="10" t="s">
        <v>1467</v>
      </c>
      <c r="L279" s="10" t="s">
        <v>78</v>
      </c>
      <c r="M279" s="10" t="s">
        <v>36</v>
      </c>
      <c r="N279" s="10" t="s">
        <v>260</v>
      </c>
      <c r="O279" s="10" t="s">
        <v>38</v>
      </c>
      <c r="P279" s="10" t="s">
        <v>39</v>
      </c>
      <c r="Q279" s="10" t="s">
        <v>298</v>
      </c>
      <c r="R279" s="10" t="s">
        <v>1468</v>
      </c>
      <c r="S279" s="10" t="s">
        <v>1309</v>
      </c>
      <c r="T279" s="10" t="s">
        <v>1469</v>
      </c>
      <c r="U279" s="10"/>
      <c r="V279" s="10"/>
      <c r="W279" s="11"/>
      <c r="X279" s="10"/>
      <c r="Y279" s="12"/>
    </row>
    <row r="280" spans="1:25" x14ac:dyDescent="0.25">
      <c r="A280" s="3">
        <v>53</v>
      </c>
      <c r="B280" s="3" t="s">
        <v>25</v>
      </c>
      <c r="C280" s="4">
        <v>531130</v>
      </c>
      <c r="D280" s="5" t="s">
        <v>1255</v>
      </c>
      <c r="E280" s="3" t="s">
        <v>1256</v>
      </c>
      <c r="F280" s="5" t="s">
        <v>1433</v>
      </c>
      <c r="G280" s="3" t="s">
        <v>226</v>
      </c>
      <c r="H280" s="5" t="s">
        <v>1470</v>
      </c>
      <c r="I280" s="5"/>
      <c r="J280" s="5" t="s">
        <v>1471</v>
      </c>
      <c r="K280" s="5" t="s">
        <v>1472</v>
      </c>
      <c r="L280" s="5" t="s">
        <v>78</v>
      </c>
      <c r="M280" s="5" t="s">
        <v>244</v>
      </c>
      <c r="N280" s="5" t="s">
        <v>1175</v>
      </c>
      <c r="O280" s="5" t="s">
        <v>246</v>
      </c>
      <c r="P280" s="5" t="s">
        <v>199</v>
      </c>
      <c r="Q280" s="5" t="s">
        <v>1452</v>
      </c>
      <c r="R280" s="5" t="s">
        <v>581</v>
      </c>
      <c r="S280" s="5" t="s">
        <v>1473</v>
      </c>
      <c r="T280" s="5" t="s">
        <v>1474</v>
      </c>
      <c r="U280" s="5"/>
      <c r="V280" s="5"/>
      <c r="W280" s="6"/>
      <c r="X280" s="5"/>
      <c r="Y280" s="7"/>
    </row>
    <row r="281" spans="1:25" x14ac:dyDescent="0.25">
      <c r="A281" s="8">
        <v>53</v>
      </c>
      <c r="B281" s="8" t="s">
        <v>25</v>
      </c>
      <c r="C281" s="9">
        <v>531107</v>
      </c>
      <c r="D281" s="10" t="s">
        <v>1475</v>
      </c>
      <c r="E281" s="8" t="str">
        <f>VLOOKUP(C281,'[1]Danh muc DPV để map DL'!$B$3:$N$209,6,FALSE)</f>
        <v>5309</v>
      </c>
      <c r="F281" s="10" t="str">
        <f>VLOOKUP(C281,'[1]Danh muc DPV để map DL'!$B$3:$N$209,7,FALSE)</f>
        <v>Văn phòng BĐTP Huế</v>
      </c>
      <c r="G281" s="8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>
        <v>5311</v>
      </c>
      <c r="V281" s="10" t="s">
        <v>1137</v>
      </c>
      <c r="W281" s="11">
        <v>5309</v>
      </c>
      <c r="X281" s="10" t="s">
        <v>234</v>
      </c>
      <c r="Y281" s="12"/>
    </row>
    <row r="282" spans="1:25" x14ac:dyDescent="0.25">
      <c r="A282" s="3">
        <v>53</v>
      </c>
      <c r="B282" s="3" t="s">
        <v>25</v>
      </c>
      <c r="C282" s="4">
        <v>531130</v>
      </c>
      <c r="D282" s="5" t="s">
        <v>1255</v>
      </c>
      <c r="E282" s="3" t="str">
        <f>VLOOKUP(C282,'[1]Danh muc DPV để map DL'!$B$3:$N$209,6,FALSE)</f>
        <v>5309</v>
      </c>
      <c r="F282" s="5" t="str">
        <f>VLOOKUP(C282,'[1]Danh muc DPV để map DL'!$B$3:$N$209,7,FALSE)</f>
        <v>Văn phòng BĐTP Huế</v>
      </c>
      <c r="G282" s="3"/>
      <c r="H282" s="5" t="s">
        <v>1476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>
        <v>53</v>
      </c>
      <c r="V282" s="5" t="s">
        <v>1477</v>
      </c>
      <c r="W282" s="6" t="s">
        <v>1256</v>
      </c>
      <c r="X282" s="5" t="s">
        <v>234</v>
      </c>
      <c r="Y282" s="7"/>
    </row>
    <row r="283" spans="1:25" x14ac:dyDescent="0.25">
      <c r="A283" s="8">
        <v>53</v>
      </c>
      <c r="B283" s="8" t="s">
        <v>25</v>
      </c>
      <c r="C283" s="9">
        <v>531130</v>
      </c>
      <c r="D283" s="10" t="s">
        <v>1255</v>
      </c>
      <c r="E283" s="8" t="str">
        <f>VLOOKUP(C283,'[1]Danh muc DPV để map DL'!$B$3:$N$209,6,FALSE)</f>
        <v>5309</v>
      </c>
      <c r="F283" s="10" t="str">
        <f>VLOOKUP(C283,'[1]Danh muc DPV để map DL'!$B$3:$N$209,7,FALSE)</f>
        <v>Văn phòng BĐTP Huế</v>
      </c>
      <c r="G283" s="8"/>
      <c r="H283" s="10" t="s">
        <v>1478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>
        <v>53</v>
      </c>
      <c r="V283" s="10" t="s">
        <v>1477</v>
      </c>
      <c r="W283" s="11" t="s">
        <v>1256</v>
      </c>
      <c r="X283" s="10" t="s">
        <v>234</v>
      </c>
      <c r="Y283" s="12"/>
    </row>
    <row r="284" spans="1:25" x14ac:dyDescent="0.25">
      <c r="A284" s="3">
        <v>53</v>
      </c>
      <c r="B284" s="3" t="s">
        <v>25</v>
      </c>
      <c r="C284" s="4">
        <v>531130</v>
      </c>
      <c r="D284" s="5" t="s">
        <v>1255</v>
      </c>
      <c r="E284" s="3" t="str">
        <f>VLOOKUP(C284,'[1]Danh muc DPV để map DL'!$B$3:$N$209,6,FALSE)</f>
        <v>5309</v>
      </c>
      <c r="F284" s="5" t="str">
        <f>VLOOKUP(C284,'[1]Danh muc DPV để map DL'!$B$3:$N$209,7,FALSE)</f>
        <v>Văn phòng BĐTP Huế</v>
      </c>
      <c r="G284" s="3"/>
      <c r="H284" s="5" t="s">
        <v>1479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>
        <v>53</v>
      </c>
      <c r="V284" s="5" t="s">
        <v>1477</v>
      </c>
      <c r="W284" s="6" t="s">
        <v>1256</v>
      </c>
      <c r="X284" s="5" t="s">
        <v>234</v>
      </c>
      <c r="Y284" s="7"/>
    </row>
    <row r="285" spans="1:25" x14ac:dyDescent="0.25">
      <c r="A285" s="8">
        <v>53</v>
      </c>
      <c r="B285" s="8" t="s">
        <v>25</v>
      </c>
      <c r="C285" s="9">
        <v>531130</v>
      </c>
      <c r="D285" s="10" t="s">
        <v>1255</v>
      </c>
      <c r="E285" s="8" t="str">
        <f>VLOOKUP(C285,'[1]Danh muc DPV để map DL'!$B$3:$N$209,6,FALSE)</f>
        <v>5309</v>
      </c>
      <c r="F285" s="10" t="str">
        <f>VLOOKUP(C285,'[1]Danh muc DPV để map DL'!$B$3:$N$209,7,FALSE)</f>
        <v>Văn phòng BĐTP Huế</v>
      </c>
      <c r="G285" s="8"/>
      <c r="H285" s="10" t="s">
        <v>1480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>
        <v>53</v>
      </c>
      <c r="V285" s="10" t="s">
        <v>1477</v>
      </c>
      <c r="W285" s="11" t="s">
        <v>1256</v>
      </c>
      <c r="X285" s="10" t="s">
        <v>234</v>
      </c>
      <c r="Y285" s="12"/>
    </row>
    <row r="286" spans="1:25" x14ac:dyDescent="0.25">
      <c r="A286" s="3">
        <v>53</v>
      </c>
      <c r="B286" s="3" t="s">
        <v>25</v>
      </c>
      <c r="C286" s="4">
        <v>531130</v>
      </c>
      <c r="D286" s="5" t="s">
        <v>1255</v>
      </c>
      <c r="E286" s="3" t="str">
        <f>VLOOKUP(C286,'[1]Danh muc DPV để map DL'!$B$3:$N$209,6,FALSE)</f>
        <v>5309</v>
      </c>
      <c r="F286" s="5" t="str">
        <f>VLOOKUP(C286,'[1]Danh muc DPV để map DL'!$B$3:$N$209,7,FALSE)</f>
        <v>Văn phòng BĐTP Huế</v>
      </c>
      <c r="G286" s="3"/>
      <c r="H286" s="5" t="s">
        <v>1481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>
        <v>53</v>
      </c>
      <c r="V286" s="5" t="s">
        <v>1477</v>
      </c>
      <c r="W286" s="6" t="s">
        <v>1256</v>
      </c>
      <c r="X286" s="5" t="s">
        <v>234</v>
      </c>
      <c r="Y286" s="7"/>
    </row>
    <row r="287" spans="1:25" x14ac:dyDescent="0.25">
      <c r="A287" s="8">
        <v>53</v>
      </c>
      <c r="B287" s="8" t="s">
        <v>25</v>
      </c>
      <c r="C287" s="9">
        <v>531130</v>
      </c>
      <c r="D287" s="10" t="s">
        <v>1255</v>
      </c>
      <c r="E287" s="8" t="str">
        <f>VLOOKUP(C287,'[1]Danh muc DPV để map DL'!$B$3:$N$209,6,FALSE)</f>
        <v>5309</v>
      </c>
      <c r="F287" s="10" t="str">
        <f>VLOOKUP(C287,'[1]Danh muc DPV để map DL'!$B$3:$N$209,7,FALSE)</f>
        <v>Văn phòng BĐTP Huế</v>
      </c>
      <c r="G287" s="8"/>
      <c r="H287" s="10" t="s">
        <v>1482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>
        <v>53</v>
      </c>
      <c r="V287" s="10" t="s">
        <v>1477</v>
      </c>
      <c r="W287" s="11" t="s">
        <v>1256</v>
      </c>
      <c r="X287" s="10" t="s">
        <v>234</v>
      </c>
      <c r="Y287" s="12"/>
    </row>
    <row r="288" spans="1:25" x14ac:dyDescent="0.25">
      <c r="A288" s="3">
        <v>53</v>
      </c>
      <c r="B288" s="3" t="s">
        <v>25</v>
      </c>
      <c r="C288" s="4">
        <v>531130</v>
      </c>
      <c r="D288" s="5" t="s">
        <v>1255</v>
      </c>
      <c r="E288" s="3" t="str">
        <f>VLOOKUP(C288,'[1]Danh muc DPV để map DL'!$B$3:$N$209,6,FALSE)</f>
        <v>5309</v>
      </c>
      <c r="F288" s="5" t="str">
        <f>VLOOKUP(C288,'[1]Danh muc DPV để map DL'!$B$3:$N$209,7,FALSE)</f>
        <v>Văn phòng BĐTP Huế</v>
      </c>
      <c r="G288" s="3"/>
      <c r="H288" s="5" t="s">
        <v>1483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>
        <v>53</v>
      </c>
      <c r="V288" s="5" t="s">
        <v>1477</v>
      </c>
      <c r="W288" s="6" t="s">
        <v>1256</v>
      </c>
      <c r="X288" s="5" t="s">
        <v>234</v>
      </c>
      <c r="Y288" s="7"/>
    </row>
    <row r="289" spans="1:25" x14ac:dyDescent="0.25">
      <c r="A289" s="8">
        <v>53</v>
      </c>
      <c r="B289" s="8" t="s">
        <v>25</v>
      </c>
      <c r="C289" s="9">
        <v>531130</v>
      </c>
      <c r="D289" s="10" t="s">
        <v>1255</v>
      </c>
      <c r="E289" s="8" t="str">
        <f>VLOOKUP(C289,'[1]Danh muc DPV để map DL'!$B$3:$N$209,6,FALSE)</f>
        <v>5309</v>
      </c>
      <c r="F289" s="10" t="str">
        <f>VLOOKUP(C289,'[1]Danh muc DPV để map DL'!$B$3:$N$209,7,FALSE)</f>
        <v>Văn phòng BĐTP Huế</v>
      </c>
      <c r="G289" s="8"/>
      <c r="H289" s="10" t="s">
        <v>1484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>
        <v>53</v>
      </c>
      <c r="V289" s="10" t="s">
        <v>1477</v>
      </c>
      <c r="W289" s="11" t="s">
        <v>1256</v>
      </c>
      <c r="X289" s="10" t="s">
        <v>234</v>
      </c>
      <c r="Y289" s="12"/>
    </row>
    <row r="290" spans="1:25" x14ac:dyDescent="0.25">
      <c r="A290" s="3">
        <v>53</v>
      </c>
      <c r="B290" s="3" t="s">
        <v>25</v>
      </c>
      <c r="C290" s="4">
        <v>531130</v>
      </c>
      <c r="D290" s="5" t="s">
        <v>1255</v>
      </c>
      <c r="E290" s="3" t="str">
        <f>VLOOKUP(C290,'[1]Danh muc DPV để map DL'!$B$3:$N$209,6,FALSE)</f>
        <v>5309</v>
      </c>
      <c r="F290" s="5" t="str">
        <f>VLOOKUP(C290,'[1]Danh muc DPV để map DL'!$B$3:$N$209,7,FALSE)</f>
        <v>Văn phòng BĐTP Huế</v>
      </c>
      <c r="G290" s="3"/>
      <c r="H290" s="5" t="s">
        <v>1485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>
        <v>53</v>
      </c>
      <c r="V290" s="5" t="s">
        <v>1477</v>
      </c>
      <c r="W290" s="6" t="s">
        <v>1256</v>
      </c>
      <c r="X290" s="5" t="s">
        <v>234</v>
      </c>
      <c r="Y290" s="7"/>
    </row>
    <row r="291" spans="1:25" x14ac:dyDescent="0.25">
      <c r="A291" s="8">
        <v>53</v>
      </c>
      <c r="B291" s="8" t="s">
        <v>25</v>
      </c>
      <c r="C291" s="9">
        <v>531130</v>
      </c>
      <c r="D291" s="10" t="s">
        <v>1255</v>
      </c>
      <c r="E291" s="8" t="str">
        <f>VLOOKUP(C291,'[1]Danh muc DPV để map DL'!$B$3:$N$209,6,FALSE)</f>
        <v>5309</v>
      </c>
      <c r="F291" s="10" t="str">
        <f>VLOOKUP(C291,'[1]Danh muc DPV để map DL'!$B$3:$N$209,7,FALSE)</f>
        <v>Văn phòng BĐTP Huế</v>
      </c>
      <c r="G291" s="8"/>
      <c r="H291" s="10" t="s">
        <v>1486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>
        <v>53</v>
      </c>
      <c r="V291" s="10" t="s">
        <v>1477</v>
      </c>
      <c r="W291" s="11" t="s">
        <v>1256</v>
      </c>
      <c r="X291" s="10" t="s">
        <v>234</v>
      </c>
      <c r="Y291" s="12"/>
    </row>
    <row r="292" spans="1:25" x14ac:dyDescent="0.25">
      <c r="A292" s="3">
        <v>53</v>
      </c>
      <c r="B292" s="3" t="s">
        <v>25</v>
      </c>
      <c r="C292" s="4">
        <v>531130</v>
      </c>
      <c r="D292" s="5" t="s">
        <v>1255</v>
      </c>
      <c r="E292" s="3" t="str">
        <f>VLOOKUP(C292,'[1]Danh muc DPV để map DL'!$B$3:$N$209,6,FALSE)</f>
        <v>5309</v>
      </c>
      <c r="F292" s="5" t="str">
        <f>VLOOKUP(C292,'[1]Danh muc DPV để map DL'!$B$3:$N$209,7,FALSE)</f>
        <v>Văn phòng BĐTP Huế</v>
      </c>
      <c r="G292" s="3"/>
      <c r="H292" s="5" t="s">
        <v>1487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>
        <v>53</v>
      </c>
      <c r="V292" s="5" t="s">
        <v>1477</v>
      </c>
      <c r="W292" s="6" t="s">
        <v>1256</v>
      </c>
      <c r="X292" s="5" t="s">
        <v>234</v>
      </c>
      <c r="Y292" s="7"/>
    </row>
    <row r="293" spans="1:25" x14ac:dyDescent="0.25">
      <c r="A293" s="8">
        <v>53</v>
      </c>
      <c r="B293" s="8" t="s">
        <v>25</v>
      </c>
      <c r="C293" s="9">
        <v>531130</v>
      </c>
      <c r="D293" s="10" t="s">
        <v>1255</v>
      </c>
      <c r="E293" s="8" t="str">
        <f>VLOOKUP(C293,'[1]Danh muc DPV để map DL'!$B$3:$N$209,6,FALSE)</f>
        <v>5309</v>
      </c>
      <c r="F293" s="10" t="str">
        <f>VLOOKUP(C293,'[1]Danh muc DPV để map DL'!$B$3:$N$209,7,FALSE)</f>
        <v>Văn phòng BĐTP Huế</v>
      </c>
      <c r="G293" s="8"/>
      <c r="H293" s="10" t="s">
        <v>1488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>
        <v>53</v>
      </c>
      <c r="V293" s="10" t="s">
        <v>1477</v>
      </c>
      <c r="W293" s="11" t="s">
        <v>1256</v>
      </c>
      <c r="X293" s="10" t="s">
        <v>234</v>
      </c>
      <c r="Y293" s="12"/>
    </row>
    <row r="294" spans="1:25" x14ac:dyDescent="0.25">
      <c r="A294" s="3">
        <v>53</v>
      </c>
      <c r="B294" s="3" t="s">
        <v>25</v>
      </c>
      <c r="C294" s="4">
        <v>531130</v>
      </c>
      <c r="D294" s="5" t="s">
        <v>1255</v>
      </c>
      <c r="E294" s="3" t="str">
        <f>VLOOKUP(C294,'[1]Danh muc DPV để map DL'!$B$3:$N$209,6,FALSE)</f>
        <v>5309</v>
      </c>
      <c r="F294" s="5" t="str">
        <f>VLOOKUP(C294,'[1]Danh muc DPV để map DL'!$B$3:$N$209,7,FALSE)</f>
        <v>Văn phòng BĐTP Huế</v>
      </c>
      <c r="G294" s="3"/>
      <c r="H294" s="5" t="s">
        <v>1489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>
        <v>53</v>
      </c>
      <c r="V294" s="5" t="s">
        <v>1477</v>
      </c>
      <c r="W294" s="6" t="s">
        <v>1256</v>
      </c>
      <c r="X294" s="5" t="s">
        <v>234</v>
      </c>
      <c r="Y294" s="7"/>
    </row>
    <row r="295" spans="1:25" x14ac:dyDescent="0.25">
      <c r="A295" s="8">
        <v>53</v>
      </c>
      <c r="B295" s="8" t="s">
        <v>25</v>
      </c>
      <c r="C295" s="9">
        <v>531115</v>
      </c>
      <c r="D295" s="10" t="s">
        <v>1490</v>
      </c>
      <c r="E295" s="8" t="str">
        <f>VLOOKUP(C295,'[1]Danh muc DPV để map DL'!$B$3:$N$209,6,FALSE)</f>
        <v>5309</v>
      </c>
      <c r="F295" s="10" t="str">
        <f>VLOOKUP(C295,'[1]Danh muc DPV để map DL'!$B$3:$N$209,7,FALSE)</f>
        <v>Văn phòng BĐTP Huế</v>
      </c>
      <c r="G295" s="8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>
        <v>5309</v>
      </c>
      <c r="V295" s="10" t="s">
        <v>1491</v>
      </c>
      <c r="W295" s="11" t="s">
        <v>1256</v>
      </c>
      <c r="X295" s="10" t="s">
        <v>234</v>
      </c>
      <c r="Y295" s="12">
        <v>1</v>
      </c>
    </row>
    <row r="296" spans="1:25" x14ac:dyDescent="0.25">
      <c r="A296" s="3">
        <v>53</v>
      </c>
      <c r="B296" s="3" t="s">
        <v>25</v>
      </c>
      <c r="C296" s="4">
        <v>530100</v>
      </c>
      <c r="D296" s="5" t="s">
        <v>1492</v>
      </c>
      <c r="E296" s="3" t="str">
        <f>VLOOKUP(C296,'[1]Danh muc DPV để map DL'!$B$3:$N$209,6,FALSE)</f>
        <v>5311</v>
      </c>
      <c r="F296" s="5" t="str">
        <f>VLOOKUP(C296,'[1]Danh muc DPV để map DL'!$B$3:$N$209,7,FALSE)</f>
        <v>KTC1 Huế 1</v>
      </c>
      <c r="G296" s="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>
        <v>5311</v>
      </c>
      <c r="V296" s="5" t="s">
        <v>1137</v>
      </c>
      <c r="W296" s="6">
        <v>5314</v>
      </c>
      <c r="X296" s="5" t="s">
        <v>1493</v>
      </c>
      <c r="Y296" s="7"/>
    </row>
    <row r="297" spans="1:25" x14ac:dyDescent="0.25">
      <c r="A297" s="8">
        <v>53</v>
      </c>
      <c r="B297" s="8" t="s">
        <v>25</v>
      </c>
      <c r="C297" s="9">
        <v>530900</v>
      </c>
      <c r="D297" s="10" t="s">
        <v>1494</v>
      </c>
      <c r="E297" s="8" t="str">
        <f>VLOOKUP(C297,'[1]Danh muc DPV để map DL'!$B$3:$N$209,6,FALSE)</f>
        <v>5311</v>
      </c>
      <c r="F297" s="10" t="str">
        <f>VLOOKUP(C297,'[1]Danh muc DPV để map DL'!$B$3:$N$209,7,FALSE)</f>
        <v>KTC1 Huế 1</v>
      </c>
      <c r="G297" s="8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>
        <v>5311</v>
      </c>
      <c r="V297" s="10" t="s">
        <v>1137</v>
      </c>
      <c r="W297" s="11">
        <v>5314</v>
      </c>
      <c r="X297" s="10" t="s">
        <v>181</v>
      </c>
      <c r="Y297" s="12"/>
    </row>
    <row r="298" spans="1:25" x14ac:dyDescent="0.25">
      <c r="A298" s="3">
        <v>53</v>
      </c>
      <c r="B298" s="3" t="s">
        <v>25</v>
      </c>
      <c r="C298" s="4">
        <v>536180</v>
      </c>
      <c r="D298" s="5" t="s">
        <v>1495</v>
      </c>
      <c r="E298" s="3" t="str">
        <f>VLOOKUP(C298,'[1]Danh muc DPV để map DL'!$B$3:$N$209,6,FALSE)</f>
        <v>5312</v>
      </c>
      <c r="F298" s="5" t="str">
        <f>VLOOKUP(C298,'[1]Danh muc DPV để map DL'!$B$3:$N$209,7,FALSE)</f>
        <v>Bưu điện phường Thanh Thủy</v>
      </c>
      <c r="G298" s="3"/>
      <c r="H298" s="5" t="s">
        <v>1496</v>
      </c>
      <c r="I298" s="5"/>
      <c r="J298" s="10" t="str">
        <f>VLOOKUP(C298,[2]VPN_2022!$A$2:$Q$403,9,FALSE)</f>
        <v>HUE-HTY-TTH</v>
      </c>
      <c r="K298" s="5"/>
      <c r="L298" s="5" t="s">
        <v>1497</v>
      </c>
      <c r="M298" s="5"/>
      <c r="N298" s="5"/>
      <c r="O298" s="5"/>
      <c r="P298" s="5"/>
      <c r="Q298" s="5"/>
      <c r="R298" s="5"/>
      <c r="S298" s="5"/>
      <c r="T298" s="5"/>
      <c r="U298" s="5">
        <v>5361</v>
      </c>
      <c r="V298" s="5" t="s">
        <v>370</v>
      </c>
      <c r="W298" s="6" t="s">
        <v>371</v>
      </c>
      <c r="X298" s="5" t="s">
        <v>1498</v>
      </c>
      <c r="Y298" s="7"/>
    </row>
    <row r="299" spans="1:25" x14ac:dyDescent="0.25">
      <c r="A299" s="8">
        <v>53</v>
      </c>
      <c r="B299" s="8" t="s">
        <v>25</v>
      </c>
      <c r="C299" s="9">
        <v>536161</v>
      </c>
      <c r="D299" s="10" t="s">
        <v>1499</v>
      </c>
      <c r="E299" s="8" t="str">
        <f>VLOOKUP(C299,'[1]Danh muc DPV để map DL'!$B$3:$N$209,6,FALSE)</f>
        <v>5313</v>
      </c>
      <c r="F299" s="10" t="str">
        <f>VLOOKUP(C299,'[1]Danh muc DPV để map DL'!$B$3:$N$209,7,FALSE)</f>
        <v>Bưu điện phường Hương Thủy</v>
      </c>
      <c r="G299" s="8" t="s">
        <v>55</v>
      </c>
      <c r="H299" s="10" t="s">
        <v>1500</v>
      </c>
      <c r="I299" s="10"/>
      <c r="J299" s="10" t="str">
        <f>VLOOKUP(C299,[2]VPN_2022!$A$2:$Q$403,9,FALSE)</f>
        <v>HUE-HTY-TCU</v>
      </c>
      <c r="K299" s="10" t="s">
        <v>1501</v>
      </c>
      <c r="L299" s="10" t="s">
        <v>78</v>
      </c>
      <c r="M299" s="10" t="s">
        <v>97</v>
      </c>
      <c r="N299" s="10" t="s">
        <v>162</v>
      </c>
      <c r="O299" s="10" t="s">
        <v>98</v>
      </c>
      <c r="P299" s="10" t="str">
        <f>VLOOKUP($C299,[2]VPN_2022!$A$2:$Q$403,17,FALSE)</f>
        <v>Microsoft Windows 10</v>
      </c>
      <c r="Q299" s="10" t="str">
        <f>VLOOKUP($C299,[2]VPN_2022!$A$2:$Q$403,14,FALSE)</f>
        <v>Intel G3250 3.2GHz</v>
      </c>
      <c r="R299" s="10" t="str">
        <f>VLOOKUP($C299,[2]VPN_2022!$A$2:$Q$403,15,FALSE)</f>
        <v>4GB</v>
      </c>
      <c r="S299" s="10" t="str">
        <f>VLOOKUP($C299,[2]VPN_2022!$A$2:$Q$403,16,FALSE)</f>
        <v>SSD 250GB</v>
      </c>
      <c r="T299" s="10"/>
      <c r="U299" s="10">
        <v>5361</v>
      </c>
      <c r="V299" s="10" t="s">
        <v>370</v>
      </c>
      <c r="W299" s="11" t="s">
        <v>371</v>
      </c>
      <c r="X299" s="10" t="s">
        <v>1502</v>
      </c>
      <c r="Y299" s="12"/>
    </row>
    <row r="300" spans="1:25" x14ac:dyDescent="0.25">
      <c r="A300" s="3">
        <v>53</v>
      </c>
      <c r="B300" s="3" t="s">
        <v>25</v>
      </c>
      <c r="C300" s="4">
        <v>536150</v>
      </c>
      <c r="D300" s="5" t="s">
        <v>1503</v>
      </c>
      <c r="E300" s="3" t="str">
        <f>VLOOKUP(C300,'[1]Danh muc DPV để map DL'!$B$3:$N$209,6,FALSE)</f>
        <v>5313</v>
      </c>
      <c r="F300" s="5" t="str">
        <f>VLOOKUP(C300,'[1]Danh muc DPV để map DL'!$B$3:$N$209,7,FALSE)</f>
        <v>Bưu điện phường Hương Thủy</v>
      </c>
      <c r="G300" s="3"/>
      <c r="H300" s="5" t="s">
        <v>1504</v>
      </c>
      <c r="I300" s="5"/>
      <c r="J300" s="10" t="str">
        <f>VLOOKUP(C300,[2]VPN_2022!$A$2:$Q$403,9,FALSE)</f>
        <v>HUE-HTY-TLG</v>
      </c>
      <c r="K300" s="5"/>
      <c r="L300" s="5" t="str">
        <f>VLOOKUP(C300,[2]VPN_2022!$A$2:$Q$403,10,FALSE)</f>
        <v>Lắp ráp Lắp ráp ĐNA</v>
      </c>
      <c r="M300" s="5"/>
      <c r="N300" s="5"/>
      <c r="O300" s="5"/>
      <c r="P300" s="5" t="str">
        <f>VLOOKUP($C300,[2]VPN_2022!$A$2:$Q$403,17,FALSE)</f>
        <v>Microsoft Windows 10</v>
      </c>
      <c r="Q300" s="5" t="str">
        <f>VLOOKUP($C300,[2]VPN_2022!$A$2:$Q$403,14,FALSE)</f>
        <v>Intel i3-3250 3.5GHz</v>
      </c>
      <c r="R300" s="5" t="str">
        <f>VLOOKUP($C300,[2]VPN_2022!$A$2:$Q$403,15,FALSE)</f>
        <v>4GB</v>
      </c>
      <c r="S300" s="5" t="str">
        <f>VLOOKUP($C300,[2]VPN_2022!$A$2:$Q$403,16,FALSE)</f>
        <v>SSD 120GB</v>
      </c>
      <c r="T300" s="5"/>
      <c r="U300" s="5">
        <v>5361</v>
      </c>
      <c r="V300" s="5" t="s">
        <v>370</v>
      </c>
      <c r="W300" s="6" t="s">
        <v>371</v>
      </c>
      <c r="X300" s="5" t="s">
        <v>1505</v>
      </c>
      <c r="Y300" s="7"/>
    </row>
    <row r="301" spans="1:25" x14ac:dyDescent="0.25">
      <c r="A301" s="8">
        <v>53</v>
      </c>
      <c r="B301" s="8" t="s">
        <v>25</v>
      </c>
      <c r="C301" s="9">
        <v>536260</v>
      </c>
      <c r="D301" s="10" t="s">
        <v>1506</v>
      </c>
      <c r="E301" s="8" t="str">
        <f>VLOOKUP(C301,'[1]Danh muc DPV để map DL'!$B$3:$N$209,6,FALSE)</f>
        <v>5314</v>
      </c>
      <c r="F301" s="10" t="str">
        <f>VLOOKUP(C301,'[1]Danh muc DPV để map DL'!$B$3:$N$209,7,FALSE)</f>
        <v>Bưu điện phường Phú Bài</v>
      </c>
      <c r="G301" s="8"/>
      <c r="H301" s="10" t="s">
        <v>1507</v>
      </c>
      <c r="I301" s="10"/>
      <c r="J301" s="10" t="str">
        <f>VLOOKUP(C301,[2]VPN_2022!$A$2:$Q$403,9,FALSE)</f>
        <v>HUE-HTY-DHA</v>
      </c>
      <c r="K301" s="10"/>
      <c r="L301" s="10" t="str">
        <f>VLOOKUP(C301,[2]VPN_2022!$A$2:$Q$403,10,FALSE)</f>
        <v>Dell Optiplex 3040</v>
      </c>
      <c r="M301" s="10"/>
      <c r="N301" s="10"/>
      <c r="O301" s="10"/>
      <c r="P301" s="10" t="str">
        <f>VLOOKUP($C301,[2]VPN_2022!$A$2:$Q$403,17,FALSE)</f>
        <v>Microsoft Windows 10</v>
      </c>
      <c r="Q301" s="10" t="str">
        <f>VLOOKUP($C301,[2]VPN_2022!$A$2:$Q$403,14,FALSE)</f>
        <v>Intel i3 6300 3.80 GHz</v>
      </c>
      <c r="R301" s="10" t="str">
        <f>VLOOKUP($C301,[2]VPN_2022!$A$2:$Q$403,15,FALSE)</f>
        <v>4GB</v>
      </c>
      <c r="S301" s="10" t="str">
        <f>VLOOKUP($C301,[2]VPN_2022!$A$2:$Q$403,16,FALSE)</f>
        <v>HDD 500GB</v>
      </c>
      <c r="T301" s="10"/>
      <c r="U301" s="10">
        <v>5361</v>
      </c>
      <c r="V301" s="10" t="s">
        <v>370</v>
      </c>
      <c r="W301" s="11" t="s">
        <v>180</v>
      </c>
      <c r="X301" s="10" t="s">
        <v>1508</v>
      </c>
      <c r="Y301" s="12"/>
    </row>
    <row r="302" spans="1:25" x14ac:dyDescent="0.25">
      <c r="A302" s="3">
        <v>53</v>
      </c>
      <c r="B302" s="3" t="s">
        <v>25</v>
      </c>
      <c r="C302" s="4">
        <v>536270</v>
      </c>
      <c r="D302" s="5" t="s">
        <v>1509</v>
      </c>
      <c r="E302" s="3" t="str">
        <f>VLOOKUP(C302,'[1]Danh muc DPV để map DL'!$B$3:$N$209,6,FALSE)</f>
        <v>5314</v>
      </c>
      <c r="F302" s="5" t="str">
        <f>VLOOKUP(C302,'[1]Danh muc DPV để map DL'!$B$3:$N$209,7,FALSE)</f>
        <v>Bưu điện phường Phú Bài</v>
      </c>
      <c r="G302" s="3"/>
      <c r="H302" s="5" t="s">
        <v>1510</v>
      </c>
      <c r="I302" s="5"/>
      <c r="J302" s="10" t="str">
        <f>VLOOKUP(C302,[2]VPN_2022!$A$2:$Q$403,9,FALSE)</f>
        <v>HUE-HTY-PSN</v>
      </c>
      <c r="K302" s="5"/>
      <c r="L302" s="5" t="s">
        <v>1497</v>
      </c>
      <c r="M302" s="5"/>
      <c r="N302" s="5"/>
      <c r="O302" s="5"/>
      <c r="P302" s="5"/>
      <c r="Q302" s="5"/>
      <c r="R302" s="5"/>
      <c r="S302" s="5"/>
      <c r="T302" s="5"/>
      <c r="U302" s="5">
        <v>5361</v>
      </c>
      <c r="V302" s="5" t="s">
        <v>370</v>
      </c>
      <c r="W302" s="6" t="s">
        <v>180</v>
      </c>
      <c r="X302" s="5" t="s">
        <v>583</v>
      </c>
      <c r="Y302" s="7"/>
    </row>
    <row r="303" spans="1:25" x14ac:dyDescent="0.25">
      <c r="A303" s="8">
        <v>53</v>
      </c>
      <c r="B303" s="8" t="s">
        <v>25</v>
      </c>
      <c r="C303" s="9">
        <v>536326</v>
      </c>
      <c r="D303" s="10" t="s">
        <v>1511</v>
      </c>
      <c r="E303" s="8" t="str">
        <f>VLOOKUP(C303,'[1]Danh muc DPV để map DL'!$B$3:$N$209,6,FALSE)</f>
        <v>5314</v>
      </c>
      <c r="F303" s="10" t="str">
        <f>VLOOKUP(C303,'[1]Danh muc DPV để map DL'!$B$3:$N$209,7,FALSE)</f>
        <v>Bưu điện phường Phú Bài</v>
      </c>
      <c r="G303" s="8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>
        <v>5361</v>
      </c>
      <c r="V303" s="10" t="s">
        <v>370</v>
      </c>
      <c r="W303" s="11"/>
      <c r="X303" s="10" t="s">
        <v>1512</v>
      </c>
      <c r="Y303" s="12">
        <v>1</v>
      </c>
    </row>
    <row r="304" spans="1:25" x14ac:dyDescent="0.25">
      <c r="A304" s="3">
        <v>53</v>
      </c>
      <c r="B304" s="3" t="s">
        <v>25</v>
      </c>
      <c r="C304" s="4">
        <v>535020</v>
      </c>
      <c r="D304" s="5" t="s">
        <v>1513</v>
      </c>
      <c r="E304" s="3" t="str">
        <f>VLOOKUP(C304,'[1]Danh muc DPV để map DL'!$B$3:$N$209,6,FALSE)</f>
        <v>5315</v>
      </c>
      <c r="F304" s="5" t="str">
        <f>VLOOKUP(C304,'[1]Danh muc DPV để map DL'!$B$3:$N$209,7,FALSE)</f>
        <v>Bưu điện phường Phong Điền</v>
      </c>
      <c r="G304" s="3"/>
      <c r="H304" s="5" t="s">
        <v>1514</v>
      </c>
      <c r="I304" s="5"/>
      <c r="J304" s="10" t="str">
        <f>VLOOKUP(C304,[2]VPN_2022!$A$2:$Q$403,9,FALSE)</f>
        <v>HUE-PDN-PTU</v>
      </c>
      <c r="K304" s="5"/>
      <c r="L304" s="5" t="str">
        <f>VLOOKUP(C304,[2]VPN_2022!$A$2:$Q$403,10,FALSE)</f>
        <v>Lắp ráp ĐNA dự án</v>
      </c>
      <c r="M304" s="5"/>
      <c r="N304" s="5"/>
      <c r="O304" s="5"/>
      <c r="P304" s="5" t="str">
        <f>VLOOKUP($C304,[2]VPN_2022!$A$2:$Q$403,17,FALSE)</f>
        <v>Microsoft Windows 7</v>
      </c>
      <c r="Q304" s="5" t="str">
        <f>VLOOKUP($C304,[2]VPN_2022!$A$2:$Q$403,14,FALSE)</f>
        <v>i3-4160 3.60GHz</v>
      </c>
      <c r="R304" s="5" t="str">
        <f>VLOOKUP($C304,[2]VPN_2022!$A$2:$Q$403,15,FALSE)</f>
        <v>4GB</v>
      </c>
      <c r="S304" s="5" t="str">
        <f>VLOOKUP($C304,[2]VPN_2022!$A$2:$Q$403,16,FALSE)</f>
        <v>HDD 500GB</v>
      </c>
      <c r="T304" s="5"/>
      <c r="U304" s="5">
        <v>5349</v>
      </c>
      <c r="V304" s="5" t="s">
        <v>450</v>
      </c>
      <c r="W304" s="6">
        <v>5341</v>
      </c>
      <c r="X304" s="5" t="s">
        <v>1515</v>
      </c>
      <c r="Y304" s="7"/>
    </row>
    <row r="305" spans="1:25" x14ac:dyDescent="0.25">
      <c r="A305" s="8">
        <v>53</v>
      </c>
      <c r="B305" s="8" t="s">
        <v>25</v>
      </c>
      <c r="C305" s="9">
        <v>534907</v>
      </c>
      <c r="D305" s="10" t="s">
        <v>1516</v>
      </c>
      <c r="E305" s="8" t="str">
        <f>VLOOKUP(C305,'[1]Danh muc DPV để map DL'!$B$3:$N$209,6,FALSE)</f>
        <v>5315</v>
      </c>
      <c r="F305" s="10" t="str">
        <f>VLOOKUP(C305,'[1]Danh muc DPV để map DL'!$B$3:$N$209,7,FALSE)</f>
        <v>Bưu điện phường Phong Điền</v>
      </c>
      <c r="G305" s="8"/>
      <c r="H305" s="10"/>
      <c r="I305" s="10"/>
      <c r="J305" s="10" t="str">
        <f>VLOOKUP(C305,[2]VPN_2022!$A$2:$Q$403,9,FALSE)</f>
        <v>HUE-PDN-TANTV</v>
      </c>
      <c r="K305" s="10"/>
      <c r="L305" s="10" t="str">
        <f>VLOOKUP(C305,[2]VPN_2022!$A$2:$Q$403,10,FALSE)</f>
        <v xml:space="preserve">Lắp ráp ĐNA </v>
      </c>
      <c r="M305" s="10"/>
      <c r="N305" s="10"/>
      <c r="O305" s="10"/>
      <c r="P305" s="10" t="str">
        <f>VLOOKUP($C305,[2]VPN_2022!$A$2:$Q$403,17,FALSE)</f>
        <v>Microsoft Windows 10</v>
      </c>
      <c r="Q305" s="10" t="str">
        <f>VLOOKUP($C305,[2]VPN_2022!$A$2:$Q$403,14,FALSE)</f>
        <v>Intel G4400 3.30GHz</v>
      </c>
      <c r="R305" s="10" t="str">
        <f>VLOOKUP($C305,[2]VPN_2022!$A$2:$Q$403,15,FALSE)</f>
        <v>8GB</v>
      </c>
      <c r="S305" s="10" t="str">
        <f>VLOOKUP($C305,[2]VPN_2022!$A$2:$Q$403,16,FALSE)</f>
        <v>SSD 250GB</v>
      </c>
      <c r="T305" s="10"/>
      <c r="U305" s="10">
        <v>5349</v>
      </c>
      <c r="V305" s="10" t="s">
        <v>450</v>
      </c>
      <c r="W305" s="11">
        <v>5341</v>
      </c>
      <c r="X305" s="10" t="s">
        <v>451</v>
      </c>
      <c r="Y305" s="12"/>
    </row>
    <row r="306" spans="1:25" x14ac:dyDescent="0.25">
      <c r="A306" s="3">
        <v>53</v>
      </c>
      <c r="B306" s="3" t="s">
        <v>25</v>
      </c>
      <c r="C306" s="4">
        <v>534990</v>
      </c>
      <c r="D306" s="5" t="s">
        <v>1517</v>
      </c>
      <c r="E306" s="3" t="str">
        <f>VLOOKUP(C306,'[1]Danh muc DPV để map DL'!$B$3:$N$209,6,FALSE)</f>
        <v>5315</v>
      </c>
      <c r="F306" s="5" t="str">
        <f>VLOOKUP(C306,'[1]Danh muc DPV để map DL'!$B$3:$N$209,7,FALSE)</f>
        <v>Bưu điện phường Phong Điền</v>
      </c>
      <c r="G306" s="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>
        <v>5349</v>
      </c>
      <c r="V306" s="5" t="s">
        <v>450</v>
      </c>
      <c r="W306" s="6" t="s">
        <v>565</v>
      </c>
      <c r="X306" s="5" t="s">
        <v>451</v>
      </c>
      <c r="Y306" s="7">
        <v>1</v>
      </c>
    </row>
    <row r="307" spans="1:25" x14ac:dyDescent="0.25">
      <c r="A307" s="8">
        <v>53</v>
      </c>
      <c r="B307" s="8" t="s">
        <v>25</v>
      </c>
      <c r="C307" s="9">
        <v>534989</v>
      </c>
      <c r="D307" s="10" t="s">
        <v>1518</v>
      </c>
      <c r="E307" s="8" t="str">
        <f>VLOOKUP(C307,'[1]Danh muc DPV để map DL'!$B$3:$N$209,6,FALSE)</f>
        <v>5315</v>
      </c>
      <c r="F307" s="10" t="str">
        <f>VLOOKUP(C307,'[1]Danh muc DPV để map DL'!$B$3:$N$209,7,FALSE)</f>
        <v>Bưu điện phường Phong Điền</v>
      </c>
      <c r="G307" s="8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>
        <v>5349</v>
      </c>
      <c r="V307" s="10" t="s">
        <v>450</v>
      </c>
      <c r="W307" s="11">
        <v>5341</v>
      </c>
      <c r="X307" s="10" t="s">
        <v>583</v>
      </c>
      <c r="Y307" s="12">
        <v>1</v>
      </c>
    </row>
    <row r="308" spans="1:25" x14ac:dyDescent="0.25">
      <c r="A308" s="3">
        <v>53</v>
      </c>
      <c r="B308" s="3" t="s">
        <v>25</v>
      </c>
      <c r="C308" s="4">
        <v>535000</v>
      </c>
      <c r="D308" s="5" t="s">
        <v>1519</v>
      </c>
      <c r="E308" s="3" t="str">
        <f>VLOOKUP(C308,'[1]Danh muc DPV để map DL'!$B$3:$N$209,6,FALSE)</f>
        <v>5319</v>
      </c>
      <c r="F308" s="5" t="str">
        <f>VLOOKUP(C308,'[1]Danh muc DPV để map DL'!$B$3:$N$209,7,FALSE)</f>
        <v>Bưu điện phường Phong Quảng</v>
      </c>
      <c r="G308" s="3"/>
      <c r="H308" s="5" t="s">
        <v>1520</v>
      </c>
      <c r="I308" s="5"/>
      <c r="J308" s="5" t="s">
        <v>1521</v>
      </c>
      <c r="K308" s="5"/>
      <c r="L308" s="5" t="s">
        <v>78</v>
      </c>
      <c r="M308" s="5" t="s">
        <v>36</v>
      </c>
      <c r="N308" s="5" t="s">
        <v>260</v>
      </c>
      <c r="O308" s="5" t="s">
        <v>38</v>
      </c>
      <c r="P308" s="5" t="s">
        <v>39</v>
      </c>
      <c r="Q308" s="5" t="s">
        <v>1303</v>
      </c>
      <c r="R308" s="5" t="s">
        <v>100</v>
      </c>
      <c r="S308" s="5" t="s">
        <v>90</v>
      </c>
      <c r="T308" s="5"/>
      <c r="U308" s="5">
        <v>5349</v>
      </c>
      <c r="V308" s="5" t="s">
        <v>450</v>
      </c>
      <c r="W308" s="6" t="s">
        <v>565</v>
      </c>
      <c r="X308" s="5" t="s">
        <v>1522</v>
      </c>
      <c r="Y308" s="7"/>
    </row>
    <row r="309" spans="1:25" x14ac:dyDescent="0.25">
      <c r="A309" s="8">
        <v>53</v>
      </c>
      <c r="B309" s="8" t="s">
        <v>25</v>
      </c>
      <c r="C309" s="9">
        <v>534680</v>
      </c>
      <c r="D309" s="10" t="s">
        <v>1523</v>
      </c>
      <c r="E309" s="8" t="str">
        <f>VLOOKUP(C309,'[1]Danh muc DPV để map DL'!$B$3:$N$209,6,FALSE)</f>
        <v>5320</v>
      </c>
      <c r="F309" s="10" t="str">
        <f>VLOOKUP(C309,'[1]Danh muc DPV để map DL'!$B$3:$N$209,7,FALSE)</f>
        <v>Bưu điện xã Đan Điền</v>
      </c>
      <c r="G309" s="8"/>
      <c r="H309" s="10" t="s">
        <v>1524</v>
      </c>
      <c r="I309" s="10"/>
      <c r="J309" s="10" t="str">
        <f>VLOOKUP(C309,[2]VPN_2022!$A$2:$Q$403,9,FALSE)</f>
        <v>HUE-QDN-QLI</v>
      </c>
      <c r="K309" s="10"/>
      <c r="L309" s="10" t="str">
        <f>VLOOKUP(C309,[2]VPN_2022!$A$2:$Q$403,10,FALSE)</f>
        <v>Dell Optiplex 3020</v>
      </c>
      <c r="M309" s="10"/>
      <c r="N309" s="10"/>
      <c r="O309" s="10"/>
      <c r="P309" s="10" t="str">
        <f>VLOOKUP($C309,[2]VPN_2022!$A$2:$Q$403,17,FALSE)</f>
        <v>Microsoft Windows 10</v>
      </c>
      <c r="Q309" s="10" t="str">
        <f>VLOOKUP($C309,[2]VPN_2022!$A$2:$Q$403,14,FALSE)</f>
        <v>Intel i3 4160T 3.1GHz</v>
      </c>
      <c r="R309" s="10" t="str">
        <f>VLOOKUP($C309,[2]VPN_2022!$A$2:$Q$403,15,FALSE)</f>
        <v>8GB</v>
      </c>
      <c r="S309" s="10" t="str">
        <f>VLOOKUP($C309,[2]VPN_2022!$A$2:$Q$403,16,FALSE)</f>
        <v>SSD 120GB</v>
      </c>
      <c r="T309" s="10"/>
      <c r="U309" s="10">
        <v>5346</v>
      </c>
      <c r="V309" s="10" t="s">
        <v>118</v>
      </c>
      <c r="W309" s="11" t="s">
        <v>565</v>
      </c>
      <c r="X309" s="10" t="s">
        <v>1525</v>
      </c>
      <c r="Y309" s="12"/>
    </row>
    <row r="310" spans="1:25" x14ac:dyDescent="0.25">
      <c r="A310" s="3">
        <v>53</v>
      </c>
      <c r="B310" s="3" t="s">
        <v>25</v>
      </c>
      <c r="C310" s="4">
        <v>534700</v>
      </c>
      <c r="D310" s="5" t="s">
        <v>1526</v>
      </c>
      <c r="E310" s="3" t="str">
        <f>VLOOKUP(C310,'[1]Danh muc DPV để map DL'!$B$3:$N$209,6,FALSE)</f>
        <v>5320</v>
      </c>
      <c r="F310" s="5" t="str">
        <f>VLOOKUP(C310,'[1]Danh muc DPV để map DL'!$B$3:$N$209,7,FALSE)</f>
        <v>Bưu điện xã Đan Điền</v>
      </c>
      <c r="G310" s="3"/>
      <c r="H310" s="5" t="s">
        <v>1527</v>
      </c>
      <c r="I310" s="5"/>
      <c r="J310" s="10" t="str">
        <f>VLOOKUP(C310,[2]VPN_2022!$A$2:$Q$403,9,FALSE)</f>
        <v>HUE-QDN-QTI</v>
      </c>
      <c r="K310" s="5"/>
      <c r="L310" s="5" t="str">
        <f>VLOOKUP(C310,[2]VPN_2022!$A$2:$Q$403,10,FALSE)</f>
        <v>HP Prodesk 600 G5</v>
      </c>
      <c r="M310" s="5"/>
      <c r="N310" s="5"/>
      <c r="O310" s="5"/>
      <c r="P310" s="5" t="str">
        <f>VLOOKUP($C310,[2]VPN_2022!$A$2:$Q$403,17,FALSE)</f>
        <v>Microsoft Windows 10</v>
      </c>
      <c r="Q310" s="5" t="str">
        <f>VLOOKUP($C310,[2]VPN_2022!$A$2:$Q$403,14,FALSE)</f>
        <v>Intel i3 9100T 3.1GHz</v>
      </c>
      <c r="R310" s="5" t="str">
        <f>VLOOKUP($C310,[2]VPN_2022!$A$2:$Q$403,15,FALSE)</f>
        <v>4GB</v>
      </c>
      <c r="S310" s="5" t="str">
        <f>VLOOKUP($C310,[2]VPN_2022!$A$2:$Q$403,16,FALSE)</f>
        <v>SSD 120GB</v>
      </c>
      <c r="T310" s="5"/>
      <c r="U310" s="5">
        <v>5346</v>
      </c>
      <c r="V310" s="5" t="s">
        <v>118</v>
      </c>
      <c r="W310" s="6" t="s">
        <v>565</v>
      </c>
      <c r="X310" s="5" t="s">
        <v>1528</v>
      </c>
      <c r="Y310" s="7"/>
    </row>
    <row r="311" spans="1:25" x14ac:dyDescent="0.25">
      <c r="A311" s="8">
        <v>53</v>
      </c>
      <c r="B311" s="8" t="s">
        <v>25</v>
      </c>
      <c r="C311" s="9">
        <v>534620</v>
      </c>
      <c r="D311" s="10" t="s">
        <v>1529</v>
      </c>
      <c r="E311" s="8" t="str">
        <f>VLOOKUP(C311,'[1]Danh muc DPV để map DL'!$B$3:$N$209,6,FALSE)</f>
        <v>5321</v>
      </c>
      <c r="F311" s="10" t="str">
        <f>VLOOKUP(C311,'[1]Danh muc DPV để map DL'!$B$3:$N$209,7,FALSE)</f>
        <v>Bưu điện xã Quảng Điền</v>
      </c>
      <c r="G311" s="8"/>
      <c r="H311" s="10" t="s">
        <v>1530</v>
      </c>
      <c r="I311" s="10"/>
      <c r="J311" s="10" t="str">
        <f>VLOOKUP(C311,[2]VPN_2022!$A$2:$Q$403,9,FALSE)</f>
        <v>HUE-QDN-PHC</v>
      </c>
      <c r="K311" s="10"/>
      <c r="L311" s="10" t="str">
        <f>VLOOKUP(C311,[2]VPN_2022!$A$2:$Q$403,10,FALSE)</f>
        <v>Dell Optiplex 5060</v>
      </c>
      <c r="M311" s="10"/>
      <c r="N311" s="10"/>
      <c r="O311" s="10"/>
      <c r="P311" s="10" t="str">
        <f>VLOOKUP($C311,[2]VPN_2022!$A$2:$Q$403,17,FALSE)</f>
        <v>Microsoft Windows 10</v>
      </c>
      <c r="Q311" s="10" t="str">
        <f>VLOOKUP($C311,[2]VPN_2022!$A$2:$Q$403,14,FALSE)</f>
        <v>Intel i3-8100 3.20GHz</v>
      </c>
      <c r="R311" s="10" t="str">
        <f>VLOOKUP($C311,[2]VPN_2022!$A$2:$Q$403,15,FALSE)</f>
        <v>4GB</v>
      </c>
      <c r="S311" s="10" t="str">
        <f>VLOOKUP($C311,[2]VPN_2022!$A$2:$Q$403,16,FALSE)</f>
        <v>HDD 500GB</v>
      </c>
      <c r="T311" s="10"/>
      <c r="U311" s="10">
        <v>5346</v>
      </c>
      <c r="V311" s="10" t="s">
        <v>118</v>
      </c>
      <c r="W311" s="11" t="s">
        <v>565</v>
      </c>
      <c r="X311" s="10" t="s">
        <v>1531</v>
      </c>
      <c r="Y311" s="12"/>
    </row>
    <row r="312" spans="1:25" x14ac:dyDescent="0.25">
      <c r="A312" s="3">
        <v>53</v>
      </c>
      <c r="B312" s="3" t="s">
        <v>25</v>
      </c>
      <c r="C312" s="4">
        <v>534612</v>
      </c>
      <c r="D312" s="5" t="s">
        <v>1532</v>
      </c>
      <c r="E312" s="3" t="str">
        <f>VLOOKUP(C312,'[1]Danh muc DPV để map DL'!$B$3:$N$209,6,FALSE)</f>
        <v>5321</v>
      </c>
      <c r="F312" s="5" t="str">
        <f>VLOOKUP(C312,'[1]Danh muc DPV để map DL'!$B$3:$N$209,7,FALSE)</f>
        <v>Bưu điện xã Quảng Điền</v>
      </c>
      <c r="G312" s="3"/>
      <c r="H312" s="5"/>
      <c r="I312" s="5"/>
      <c r="J312" s="10"/>
      <c r="K312" s="5"/>
      <c r="L312" s="5" t="str">
        <f>VLOOKUP(C312,[2]VPN_2022!$A$2:$Q$403,10,FALSE)</f>
        <v>Lắp ráp ĐNA</v>
      </c>
      <c r="M312" s="5"/>
      <c r="N312" s="5"/>
      <c r="O312" s="5"/>
      <c r="P312" s="5" t="str">
        <f>VLOOKUP($C312,[2]VPN_2022!$A$2:$Q$403,17,FALSE)</f>
        <v>Microsoft Windows 10</v>
      </c>
      <c r="Q312" s="5" t="str">
        <f>VLOOKUP($C312,[2]VPN_2022!$A$2:$Q$403,14,FALSE)</f>
        <v>Intel i3 4150 3.5GHz</v>
      </c>
      <c r="R312" s="5" t="str">
        <f>VLOOKUP($C312,[2]VPN_2022!$A$2:$Q$403,15,FALSE)</f>
        <v>8GB</v>
      </c>
      <c r="S312" s="5" t="str">
        <f>VLOOKUP($C312,[2]VPN_2022!$A$2:$Q$403,16,FALSE)</f>
        <v>SSD 120GB</v>
      </c>
      <c r="T312" s="5"/>
      <c r="U312" s="5">
        <v>5346</v>
      </c>
      <c r="V312" s="5" t="s">
        <v>118</v>
      </c>
      <c r="W312" s="6" t="s">
        <v>565</v>
      </c>
      <c r="X312" s="5" t="s">
        <v>1533</v>
      </c>
      <c r="Y312" s="7"/>
    </row>
    <row r="313" spans="1:25" x14ac:dyDescent="0.25">
      <c r="A313" s="8">
        <v>53</v>
      </c>
      <c r="B313" s="8" t="s">
        <v>25</v>
      </c>
      <c r="C313" s="9">
        <v>534650</v>
      </c>
      <c r="D313" s="10" t="s">
        <v>1534</v>
      </c>
      <c r="E313" s="8" t="str">
        <f>VLOOKUP(C313,'[1]Danh muc DPV để map DL'!$B$3:$N$209,6,FALSE)</f>
        <v>5321</v>
      </c>
      <c r="F313" s="10" t="str">
        <f>VLOOKUP(C313,'[1]Danh muc DPV để map DL'!$B$3:$N$209,7,FALSE)</f>
        <v>Bưu điện xã Quảng Điền</v>
      </c>
      <c r="G313" s="8"/>
      <c r="H313" s="10"/>
      <c r="I313" s="10"/>
      <c r="J313" s="10"/>
      <c r="K313" s="10"/>
      <c r="L313" s="10"/>
      <c r="M313" s="10"/>
      <c r="N313" s="10"/>
      <c r="O313" s="10"/>
      <c r="P313" s="10" t="str">
        <f>VLOOKUP($C313,[2]VPN_2022!$A$2:$Q$403,17,FALSE)</f>
        <v/>
      </c>
      <c r="Q313" s="10">
        <f>VLOOKUP($C313,[2]VPN_2022!$A$2:$Q$403,14,FALSE)</f>
        <v>0</v>
      </c>
      <c r="R313" s="10">
        <f>VLOOKUP($C313,[2]VPN_2022!$A$2:$Q$403,15,FALSE)</f>
        <v>0</v>
      </c>
      <c r="S313" s="10">
        <f>VLOOKUP($C313,[2]VPN_2022!$A$2:$Q$403,16,FALSE)</f>
        <v>0</v>
      </c>
      <c r="T313" s="10"/>
      <c r="U313" s="10">
        <v>5346</v>
      </c>
      <c r="V313" s="10" t="s">
        <v>118</v>
      </c>
      <c r="W313" s="11"/>
      <c r="X313" s="10" t="s">
        <v>1108</v>
      </c>
      <c r="Y313" s="12">
        <v>1</v>
      </c>
    </row>
    <row r="314" spans="1:25" x14ac:dyDescent="0.25">
      <c r="A314" s="3">
        <v>53</v>
      </c>
      <c r="B314" s="3" t="s">
        <v>25</v>
      </c>
      <c r="C314" s="4">
        <v>536960</v>
      </c>
      <c r="D314" s="5" t="s">
        <v>1535</v>
      </c>
      <c r="E314" s="3" t="str">
        <f>VLOOKUP(C314,'[1]Danh muc DPV để map DL'!$B$3:$N$209,6,FALSE)</f>
        <v>5322</v>
      </c>
      <c r="F314" s="5" t="str">
        <f>VLOOKUP(C314,'[1]Danh muc DPV để map DL'!$B$3:$N$209,7,FALSE)</f>
        <v>Bưu điện xã Phú Vinh</v>
      </c>
      <c r="G314" s="3"/>
      <c r="H314" s="5" t="s">
        <v>1536</v>
      </c>
      <c r="I314" s="5"/>
      <c r="J314" s="10" t="str">
        <f>VLOOKUP(C314,[2]VPN_2022!$A$2:$Q$403,9,FALSE)</f>
        <v>HUE-PVG-PDN</v>
      </c>
      <c r="K314" s="5"/>
      <c r="L314" s="5" t="str">
        <f>VLOOKUP(C314,[2]VPN_2022!$A$2:$Q$403,10,FALSE)</f>
        <v>Lắp ráp ĐNA</v>
      </c>
      <c r="M314" s="5"/>
      <c r="N314" s="5"/>
      <c r="O314" s="5"/>
      <c r="P314" s="5" t="str">
        <f>VLOOKUP($C314,[2]VPN_2022!$A$2:$Q$403,17,FALSE)</f>
        <v>Microsoft Windows 10</v>
      </c>
      <c r="Q314" s="5" t="str">
        <f>VLOOKUP($C314,[2]VPN_2022!$A$2:$Q$403,14,FALSE)</f>
        <v>Intel i3 10105 4.4GHz</v>
      </c>
      <c r="R314" s="5" t="str">
        <f>VLOOKUP($C314,[2]VPN_2022!$A$2:$Q$403,15,FALSE)</f>
        <v>8GB</v>
      </c>
      <c r="S314" s="5" t="str">
        <f>VLOOKUP($C314,[2]VPN_2022!$A$2:$Q$403,16,FALSE)</f>
        <v>SSD 250GB</v>
      </c>
      <c r="T314" s="5"/>
      <c r="U314" s="5">
        <v>5367</v>
      </c>
      <c r="V314" s="5" t="s">
        <v>83</v>
      </c>
      <c r="W314" s="6">
        <v>5314</v>
      </c>
      <c r="X314" s="5" t="s">
        <v>1537</v>
      </c>
      <c r="Y314" s="7"/>
    </row>
    <row r="315" spans="1:25" x14ac:dyDescent="0.25">
      <c r="A315" s="8">
        <v>53</v>
      </c>
      <c r="B315" s="8" t="s">
        <v>25</v>
      </c>
      <c r="C315" s="9">
        <v>537000</v>
      </c>
      <c r="D315" s="10" t="s">
        <v>1538</v>
      </c>
      <c r="E315" s="8" t="str">
        <f>VLOOKUP(C315,'[1]Danh muc DPV để map DL'!$B$3:$N$209,6,FALSE)</f>
        <v>5322</v>
      </c>
      <c r="F315" s="10" t="str">
        <f>VLOOKUP(C315,'[1]Danh muc DPV để map DL'!$B$3:$N$209,7,FALSE)</f>
        <v>Bưu điện xã Phú Vinh</v>
      </c>
      <c r="G315" s="8"/>
      <c r="H315" s="10" t="s">
        <v>1539</v>
      </c>
      <c r="I315" s="10"/>
      <c r="J315" s="10" t="str">
        <f>VLOOKUP(C315,[2]VPN_2022!$A$2:$Q$403,9,FALSE)</f>
        <v>HUE-PVG-VAN</v>
      </c>
      <c r="K315" s="10"/>
      <c r="L315" s="10" t="str">
        <f>VLOOKUP(C315,[2]VPN_2022!$A$2:$Q$403,10,FALSE)</f>
        <v>Lắp ráp ĐNA</v>
      </c>
      <c r="M315" s="10"/>
      <c r="N315" s="10"/>
      <c r="O315" s="10"/>
      <c r="P315" s="10" t="str">
        <f>VLOOKUP($C315,[2]VPN_2022!$A$2:$Q$403,17,FALSE)</f>
        <v>Microsoft Windows 10</v>
      </c>
      <c r="Q315" s="10" t="str">
        <f>VLOOKUP($C315,[2]VPN_2022!$A$2:$Q$403,14,FALSE)</f>
        <v>Intel G4400 3.3GHz</v>
      </c>
      <c r="R315" s="10" t="str">
        <f>VLOOKUP($C315,[2]VPN_2022!$A$2:$Q$403,15,FALSE)</f>
        <v>8GB</v>
      </c>
      <c r="S315" s="10" t="str">
        <f>VLOOKUP($C315,[2]VPN_2022!$A$2:$Q$403,16,FALSE)</f>
        <v>SSD 120GB</v>
      </c>
      <c r="T315" s="10"/>
      <c r="U315" s="10">
        <v>5367</v>
      </c>
      <c r="V315" s="10" t="s">
        <v>83</v>
      </c>
      <c r="W315" s="11">
        <v>5314</v>
      </c>
      <c r="X315" s="10" t="s">
        <v>1540</v>
      </c>
      <c r="Y315" s="12"/>
    </row>
    <row r="316" spans="1:25" x14ac:dyDescent="0.25">
      <c r="A316" s="3">
        <v>53</v>
      </c>
      <c r="B316" s="3" t="s">
        <v>25</v>
      </c>
      <c r="C316" s="4">
        <v>536951</v>
      </c>
      <c r="D316" s="5" t="s">
        <v>1541</v>
      </c>
      <c r="E316" s="3" t="str">
        <f>VLOOKUP(C316,'[1]Danh muc DPV để map DL'!$B$3:$N$209,6,FALSE)</f>
        <v>5324</v>
      </c>
      <c r="F316" s="5" t="str">
        <f>VLOOKUP(C316,'[1]Danh muc DPV để map DL'!$B$3:$N$209,7,FALSE)</f>
        <v>Bưu điện xã Phú Vang</v>
      </c>
      <c r="G316" s="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>
        <v>5367</v>
      </c>
      <c r="V316" s="5" t="s">
        <v>83</v>
      </c>
      <c r="W316" s="6"/>
      <c r="X316" s="5" t="s">
        <v>1542</v>
      </c>
      <c r="Y316" s="7">
        <v>1</v>
      </c>
    </row>
    <row r="317" spans="1:25" x14ac:dyDescent="0.25">
      <c r="A317" s="8">
        <v>53</v>
      </c>
      <c r="B317" s="8" t="s">
        <v>25</v>
      </c>
      <c r="C317" s="9">
        <v>537160</v>
      </c>
      <c r="D317" s="10" t="s">
        <v>1543</v>
      </c>
      <c r="E317" s="8" t="str">
        <f>VLOOKUP(C317,'[1]Danh muc DPV để map DL'!$B$3:$N$209,6,FALSE)</f>
        <v>5325</v>
      </c>
      <c r="F317" s="10" t="str">
        <f>VLOOKUP(C317,'[1]Danh muc DPV để map DL'!$B$3:$N$209,7,FALSE)</f>
        <v>Bưu điện xã Vinh Lộc</v>
      </c>
      <c r="G317" s="8"/>
      <c r="H317" s="10" t="s">
        <v>1544</v>
      </c>
      <c r="I317" s="10"/>
      <c r="J317" s="10"/>
      <c r="K317" s="10"/>
      <c r="L317" s="10" t="s">
        <v>1497</v>
      </c>
      <c r="M317" s="10"/>
      <c r="N317" s="10"/>
      <c r="O317" s="10"/>
      <c r="P317" s="10"/>
      <c r="Q317" s="10"/>
      <c r="R317" s="10"/>
      <c r="S317" s="10"/>
      <c r="T317" s="10"/>
      <c r="U317" s="10">
        <v>5371</v>
      </c>
      <c r="V317" s="10" t="s">
        <v>713</v>
      </c>
      <c r="W317" s="11" t="s">
        <v>714</v>
      </c>
      <c r="X317" s="10" t="s">
        <v>1545</v>
      </c>
      <c r="Y317" s="12"/>
    </row>
    <row r="318" spans="1:25" x14ac:dyDescent="0.25">
      <c r="A318" s="3">
        <v>53</v>
      </c>
      <c r="B318" s="3" t="s">
        <v>25</v>
      </c>
      <c r="C318" s="4">
        <v>537240</v>
      </c>
      <c r="D318" s="5" t="s">
        <v>1546</v>
      </c>
      <c r="E318" s="3" t="str">
        <f>VLOOKUP(C318,'[1]Danh muc DPV để map DL'!$B$3:$N$209,6,FALSE)</f>
        <v>5326</v>
      </c>
      <c r="F318" s="5" t="str">
        <f>VLOOKUP(C318,'[1]Danh muc DPV để map DL'!$B$3:$N$209,7,FALSE)</f>
        <v>Bưu điện xã Hưng Lộc</v>
      </c>
      <c r="G318" s="3"/>
      <c r="H318" s="5" t="s">
        <v>1547</v>
      </c>
      <c r="I318" s="5"/>
      <c r="J318" s="10"/>
      <c r="K318" s="5"/>
      <c r="L318" s="5" t="s">
        <v>1497</v>
      </c>
      <c r="M318" s="5"/>
      <c r="N318" s="5"/>
      <c r="O318" s="5"/>
      <c r="P318" s="5"/>
      <c r="Q318" s="5"/>
      <c r="R318" s="5"/>
      <c r="S318" s="5"/>
      <c r="T318" s="5"/>
      <c r="U318" s="5">
        <v>5371</v>
      </c>
      <c r="V318" s="5" t="s">
        <v>713</v>
      </c>
      <c r="W318" s="6" t="s">
        <v>714</v>
      </c>
      <c r="X318" s="5" t="s">
        <v>1548</v>
      </c>
      <c r="Y318" s="7"/>
    </row>
    <row r="319" spans="1:25" x14ac:dyDescent="0.25">
      <c r="A319" s="8">
        <v>53</v>
      </c>
      <c r="B319" s="8" t="s">
        <v>25</v>
      </c>
      <c r="C319" s="9">
        <v>537290</v>
      </c>
      <c r="D319" s="10" t="s">
        <v>1549</v>
      </c>
      <c r="E319" s="8" t="str">
        <f>VLOOKUP(C319,'[1]Danh muc DPV để map DL'!$B$3:$N$209,6,FALSE)</f>
        <v>5326</v>
      </c>
      <c r="F319" s="10" t="str">
        <f>VLOOKUP(C319,'[1]Danh muc DPV để map DL'!$B$3:$N$209,7,FALSE)</f>
        <v>Bưu điện xã Hưng Lộc</v>
      </c>
      <c r="G319" s="8"/>
      <c r="H319" s="10" t="s">
        <v>1550</v>
      </c>
      <c r="I319" s="10"/>
      <c r="J319" s="10"/>
      <c r="K319" s="10"/>
      <c r="L319" s="10" t="s">
        <v>1497</v>
      </c>
      <c r="M319" s="10"/>
      <c r="N319" s="10"/>
      <c r="O319" s="10"/>
      <c r="P319" s="10"/>
      <c r="Q319" s="10"/>
      <c r="R319" s="10"/>
      <c r="S319" s="10"/>
      <c r="T319" s="10"/>
      <c r="U319" s="10">
        <v>5371</v>
      </c>
      <c r="V319" s="10" t="s">
        <v>713</v>
      </c>
      <c r="W319" s="11" t="s">
        <v>714</v>
      </c>
      <c r="X319" s="10" t="s">
        <v>576</v>
      </c>
      <c r="Y319" s="12"/>
    </row>
    <row r="320" spans="1:25" x14ac:dyDescent="0.25">
      <c r="A320" s="3">
        <v>53</v>
      </c>
      <c r="B320" s="3" t="s">
        <v>25</v>
      </c>
      <c r="C320" s="4">
        <v>537250</v>
      </c>
      <c r="D320" s="5" t="s">
        <v>1551</v>
      </c>
      <c r="E320" s="3" t="str">
        <f>VLOOKUP(C320,'[1]Danh muc DPV để map DL'!$B$3:$N$209,6,FALSE)</f>
        <v>5327</v>
      </c>
      <c r="F320" s="5" t="str">
        <f>VLOOKUP(C320,'[1]Danh muc DPV để map DL'!$B$3:$N$209,7,FALSE)</f>
        <v>Bưu điện xã Lộc An</v>
      </c>
      <c r="G320" s="3"/>
      <c r="H320" s="5" t="s">
        <v>1552</v>
      </c>
      <c r="I320" s="5"/>
      <c r="J320" s="10" t="str">
        <f>VLOOKUP(C320,[2]VPN_2022!$A$2:$Q$403,9,FALSE)</f>
        <v>HUE-PLC-LDN</v>
      </c>
      <c r="K320" s="5"/>
      <c r="L320" s="5" t="s">
        <v>1497</v>
      </c>
      <c r="M320" s="5"/>
      <c r="N320" s="5"/>
      <c r="O320" s="5"/>
      <c r="P320" s="5"/>
      <c r="Q320" s="5"/>
      <c r="R320" s="5"/>
      <c r="S320" s="5"/>
      <c r="T320" s="5"/>
      <c r="U320" s="5">
        <v>5371</v>
      </c>
      <c r="V320" s="5" t="s">
        <v>713</v>
      </c>
      <c r="W320" s="6" t="s">
        <v>714</v>
      </c>
      <c r="X320" s="5" t="s">
        <v>1553</v>
      </c>
      <c r="Y320" s="7"/>
    </row>
    <row r="321" spans="1:25" x14ac:dyDescent="0.25">
      <c r="A321" s="8">
        <v>53</v>
      </c>
      <c r="B321" s="8" t="s">
        <v>25</v>
      </c>
      <c r="C321" s="9">
        <v>537270</v>
      </c>
      <c r="D321" s="10" t="s">
        <v>1554</v>
      </c>
      <c r="E321" s="8" t="str">
        <f>VLOOKUP(C321,'[1]Danh muc DPV để map DL'!$B$3:$N$209,6,FALSE)</f>
        <v>5327</v>
      </c>
      <c r="F321" s="10" t="str">
        <f>VLOOKUP(C321,'[1]Danh muc DPV để map DL'!$B$3:$N$209,7,FALSE)</f>
        <v>Bưu điện xã Lộc An</v>
      </c>
      <c r="G321" s="8"/>
      <c r="H321" s="10" t="s">
        <v>1555</v>
      </c>
      <c r="I321" s="10"/>
      <c r="J321" s="10"/>
      <c r="K321" s="10"/>
      <c r="L321" s="10" t="s">
        <v>1497</v>
      </c>
      <c r="M321" s="10"/>
      <c r="N321" s="10"/>
      <c r="O321" s="10"/>
      <c r="P321" s="10"/>
      <c r="Q321" s="10"/>
      <c r="R321" s="10"/>
      <c r="S321" s="10"/>
      <c r="T321" s="10"/>
      <c r="U321" s="10">
        <v>5371</v>
      </c>
      <c r="V321" s="10" t="s">
        <v>713</v>
      </c>
      <c r="W321" s="11" t="s">
        <v>714</v>
      </c>
      <c r="X321" s="10" t="s">
        <v>433</v>
      </c>
      <c r="Y321" s="12"/>
    </row>
    <row r="322" spans="1:25" x14ac:dyDescent="0.25">
      <c r="A322" s="3">
        <v>53</v>
      </c>
      <c r="B322" s="3" t="s">
        <v>25</v>
      </c>
      <c r="C322" s="4">
        <v>537310</v>
      </c>
      <c r="D322" s="5" t="s">
        <v>1556</v>
      </c>
      <c r="E322" s="3" t="str">
        <f>VLOOKUP(C322,'[1]Danh muc DPV để map DL'!$B$3:$N$209,6,FALSE)</f>
        <v>5328</v>
      </c>
      <c r="F322" s="5" t="str">
        <f>VLOOKUP(C322,'[1]Danh muc DPV để map DL'!$B$3:$N$209,7,FALSE)</f>
        <v>Bưu điện xã Phú Lộc</v>
      </c>
      <c r="G322" s="3"/>
      <c r="H322" s="5" t="s">
        <v>1557</v>
      </c>
      <c r="I322" s="5"/>
      <c r="J322" s="10" t="str">
        <f>VLOOKUP(C322,[2]VPN_2022!$A$2:$Q$403,9,FALSE)</f>
        <v>HUE-PLC-LTI</v>
      </c>
      <c r="K322" s="5"/>
      <c r="L322" s="5" t="str">
        <f>VLOOKUP(C322,[2]VPN_2022!$A$2:$Q$403,10,FALSE)</f>
        <v>Lắp ráp ĐNA</v>
      </c>
      <c r="M322" s="5"/>
      <c r="N322" s="5"/>
      <c r="O322" s="5"/>
      <c r="P322" s="5" t="str">
        <f>VLOOKUP($C322,[2]VPN_2022!$A$2:$Q$403,17,FALSE)</f>
        <v>Microsoft Windows 10</v>
      </c>
      <c r="Q322" s="5" t="str">
        <f>VLOOKUP($C322,[2]VPN_2022!$A$2:$Q$403,14,FALSE)</f>
        <v>AMD A6-7400K</v>
      </c>
      <c r="R322" s="5" t="str">
        <f>VLOOKUP($C322,[2]VPN_2022!$A$2:$Q$403,15,FALSE)</f>
        <v>8GB</v>
      </c>
      <c r="S322" s="5" t="str">
        <f>VLOOKUP($C322,[2]VPN_2022!$A$2:$Q$403,16,FALSE)</f>
        <v>HDD 500GB</v>
      </c>
      <c r="T322" s="5"/>
      <c r="U322" s="5">
        <v>5371</v>
      </c>
      <c r="V322" s="5" t="s">
        <v>713</v>
      </c>
      <c r="W322" s="6" t="s">
        <v>180</v>
      </c>
      <c r="X322" s="5" t="s">
        <v>1558</v>
      </c>
      <c r="Y322" s="7"/>
    </row>
    <row r="323" spans="1:25" x14ac:dyDescent="0.25">
      <c r="A323" s="8">
        <v>53</v>
      </c>
      <c r="B323" s="8" t="s">
        <v>25</v>
      </c>
      <c r="C323" s="9">
        <v>536460</v>
      </c>
      <c r="D323" s="10" t="s">
        <v>1559</v>
      </c>
      <c r="E323" s="8" t="str">
        <f>VLOOKUP(C323,'[1]Danh muc DPV để map DL'!$B$3:$N$209,6,FALSE)</f>
        <v>5328</v>
      </c>
      <c r="F323" s="10" t="str">
        <f>VLOOKUP(C323,'[1]Danh muc DPV để map DL'!$B$3:$N$209,7,FALSE)</f>
        <v>Bưu điện xã Phú Lộc</v>
      </c>
      <c r="G323" s="8"/>
      <c r="H323" s="10"/>
      <c r="I323" s="10"/>
      <c r="J323" s="10"/>
      <c r="K323" s="10"/>
      <c r="L323" s="10"/>
      <c r="M323" s="10"/>
      <c r="N323" s="10"/>
      <c r="O323" s="10"/>
      <c r="P323" s="10" t="str">
        <f>VLOOKUP($C323,[2]VPN_2022!$A$2:$Q$403,17,FALSE)</f>
        <v/>
      </c>
      <c r="Q323" s="10">
        <f>VLOOKUP($C323,[2]VPN_2022!$A$2:$Q$403,14,FALSE)</f>
        <v>0</v>
      </c>
      <c r="R323" s="10">
        <f>VLOOKUP($C323,[2]VPN_2022!$A$2:$Q$403,15,FALSE)</f>
        <v>0</v>
      </c>
      <c r="S323" s="10">
        <f>VLOOKUP($C323,[2]VPN_2022!$A$2:$Q$403,16,FALSE)</f>
        <v>0</v>
      </c>
      <c r="T323" s="10"/>
      <c r="U323" s="10">
        <v>5364</v>
      </c>
      <c r="V323" s="10" t="s">
        <v>713</v>
      </c>
      <c r="W323" s="11"/>
      <c r="X323" s="10" t="s">
        <v>851</v>
      </c>
      <c r="Y323" s="12">
        <v>1</v>
      </c>
    </row>
    <row r="324" spans="1:25" x14ac:dyDescent="0.25">
      <c r="A324" s="3">
        <v>53</v>
      </c>
      <c r="B324" s="3" t="s">
        <v>25</v>
      </c>
      <c r="C324" s="4">
        <v>537170</v>
      </c>
      <c r="D324" s="5" t="s">
        <v>1560</v>
      </c>
      <c r="E324" s="3" t="str">
        <f>VLOOKUP(C324,'[1]Danh muc DPV để map DL'!$B$3:$N$209,6,FALSE)</f>
        <v>5328</v>
      </c>
      <c r="F324" s="5" t="str">
        <f>VLOOKUP(C324,'[1]Danh muc DPV để map DL'!$B$3:$N$209,7,FALSE)</f>
        <v>Bưu điện xã Phú Lộc</v>
      </c>
      <c r="G324" s="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>
        <v>5371</v>
      </c>
      <c r="V324" s="5" t="s">
        <v>713</v>
      </c>
      <c r="W324" s="6"/>
      <c r="X324" s="5" t="s">
        <v>1561</v>
      </c>
      <c r="Y324" s="7">
        <v>1</v>
      </c>
    </row>
    <row r="325" spans="1:25" x14ac:dyDescent="0.25">
      <c r="A325" s="8">
        <v>53</v>
      </c>
      <c r="B325" s="8" t="s">
        <v>25</v>
      </c>
      <c r="C325" s="9">
        <v>537330</v>
      </c>
      <c r="D325" s="10" t="s">
        <v>1562</v>
      </c>
      <c r="E325" s="8" t="str">
        <f>VLOOKUP(C325,'[1]Danh muc DPV để map DL'!$B$3:$N$209,6,FALSE)</f>
        <v>5329</v>
      </c>
      <c r="F325" s="10" t="str">
        <f>VLOOKUP(C325,'[1]Danh muc DPV để map DL'!$B$3:$N$209,7,FALSE)</f>
        <v>Bưu điện xã Chân Mây - Lăng Cô</v>
      </c>
      <c r="G325" s="8"/>
      <c r="H325" s="10" t="s">
        <v>1563</v>
      </c>
      <c r="I325" s="10"/>
      <c r="J325" s="10" t="str">
        <f>VLOOKUP(C325,[2]VPN_2022!$A$2:$Q$403,9,FALSE)</f>
        <v>HUE-PLC-LTY</v>
      </c>
      <c r="K325" s="10"/>
      <c r="L325" s="10" t="str">
        <f>VLOOKUP(C325,[2]VPN_2022!$A$2:$Q$403,10,FALSE)</f>
        <v>Lắp ráp ĐNA</v>
      </c>
      <c r="M325" s="10"/>
      <c r="N325" s="10"/>
      <c r="O325" s="10"/>
      <c r="P325" s="10" t="str">
        <f>VLOOKUP($C325,[2]VPN_2022!$A$2:$Q$403,17,FALSE)</f>
        <v>Microsoft Windows 7</v>
      </c>
      <c r="Q325" s="10" t="str">
        <f>VLOOKUP($C325,[2]VPN_2022!$A$2:$Q$403,14,FALSE)</f>
        <v>i3 4150T</v>
      </c>
      <c r="R325" s="10" t="str">
        <f>VLOOKUP($C325,[2]VPN_2022!$A$2:$Q$403,15,FALSE)</f>
        <v>4GB</v>
      </c>
      <c r="S325" s="10" t="str">
        <f>VLOOKUP($C325,[2]VPN_2022!$A$2:$Q$403,16,FALSE)</f>
        <v>HDD 500GB</v>
      </c>
      <c r="T325" s="10"/>
      <c r="U325" s="10">
        <v>5371</v>
      </c>
      <c r="V325" s="10" t="s">
        <v>713</v>
      </c>
      <c r="W325" s="11" t="s">
        <v>714</v>
      </c>
      <c r="X325" s="10" t="s">
        <v>1564</v>
      </c>
      <c r="Y325" s="12"/>
    </row>
    <row r="326" spans="1:25" x14ac:dyDescent="0.25">
      <c r="A326" s="3">
        <v>53</v>
      </c>
      <c r="B326" s="3" t="s">
        <v>25</v>
      </c>
      <c r="C326" s="4">
        <v>536500</v>
      </c>
      <c r="D326" s="5" t="s">
        <v>1565</v>
      </c>
      <c r="E326" s="3" t="str">
        <f>VLOOKUP(C326,'[1]Danh muc DPV để map DL'!$B$3:$N$209,6,FALSE)</f>
        <v>5331</v>
      </c>
      <c r="F326" s="5" t="str">
        <f>VLOOKUP(C326,'[1]Danh muc DPV để map DL'!$B$3:$N$209,7,FALSE)</f>
        <v>Bưu điện xã Nam Đông</v>
      </c>
      <c r="G326" s="3"/>
      <c r="H326" s="5" t="s">
        <v>1566</v>
      </c>
      <c r="I326" s="5"/>
      <c r="J326" s="10" t="str">
        <f>VLOOKUP(C326,[2]VPN_2022!$A$2:$Q$403,9,FALSE)</f>
        <v>HUE-NDG-TQG</v>
      </c>
      <c r="K326" s="5"/>
      <c r="L326" s="5" t="str">
        <f>VLOOKUP(C326,[2]VPN_2022!$A$2:$Q$403,10,FALSE)</f>
        <v>HP Prodesk 600 G5</v>
      </c>
      <c r="M326" s="5"/>
      <c r="N326" s="5"/>
      <c r="O326" s="5"/>
      <c r="P326" s="5" t="str">
        <f>VLOOKUP($C326,[2]VPN_2022!$A$2:$Q$403,17,FALSE)</f>
        <v>Microsoft Windows 10</v>
      </c>
      <c r="Q326" s="5" t="str">
        <f>VLOOKUP($C326,[2]VPN_2022!$A$2:$Q$403,14,FALSE)</f>
        <v>Intel i3 9100T 3.1GHz</v>
      </c>
      <c r="R326" s="5" t="str">
        <f>VLOOKUP($C326,[2]VPN_2022!$A$2:$Q$403,15,FALSE)</f>
        <v>4GB</v>
      </c>
      <c r="S326" s="5" t="str">
        <f>VLOOKUP($C326,[2]VPN_2022!$A$2:$Q$403,16,FALSE)</f>
        <v>HDD 500GB</v>
      </c>
      <c r="T326" s="5"/>
      <c r="U326" s="5">
        <v>5364</v>
      </c>
      <c r="V326" s="5" t="s">
        <v>713</v>
      </c>
      <c r="W326" s="6" t="s">
        <v>714</v>
      </c>
      <c r="X326" s="5" t="s">
        <v>892</v>
      </c>
      <c r="Y326" s="7"/>
    </row>
    <row r="327" spans="1:25" x14ac:dyDescent="0.25">
      <c r="A327" s="8">
        <v>53</v>
      </c>
      <c r="B327" s="8" t="s">
        <v>25</v>
      </c>
      <c r="C327" s="9">
        <v>536560</v>
      </c>
      <c r="D327" s="10" t="s">
        <v>1567</v>
      </c>
      <c r="E327" s="8" t="str">
        <f>VLOOKUP(C327,'[1]Danh muc DPV để map DL'!$B$3:$N$209,6,FALSE)</f>
        <v>5332</v>
      </c>
      <c r="F327" s="10" t="str">
        <f>VLOOKUP(C327,'[1]Danh muc DPV để map DL'!$B$3:$N$209,7,FALSE)</f>
        <v>Bưu điện xã Khe Tre</v>
      </c>
      <c r="G327" s="8"/>
      <c r="H327" s="10" t="s">
        <v>1568</v>
      </c>
      <c r="I327" s="10"/>
      <c r="J327" s="10" t="str">
        <f>VLOOKUP(C327,[2]VPN_2022!$A$2:$Q$403,9,FALSE)</f>
        <v>HUE-NDG-TLO</v>
      </c>
      <c r="K327" s="10"/>
      <c r="L327" s="10" t="str">
        <f>VLOOKUP(C327,[2]VPN_2022!$A$2:$Q$403,10,FALSE)</f>
        <v>Dell Optiplex 3040</v>
      </c>
      <c r="M327" s="10"/>
      <c r="N327" s="10"/>
      <c r="O327" s="10"/>
      <c r="P327" s="10" t="str">
        <f>VLOOKUP($C327,[2]VPN_2022!$A$2:$Q$403,17,FALSE)</f>
        <v>Microsoft Windows 10</v>
      </c>
      <c r="Q327" s="10" t="str">
        <f>VLOOKUP($C327,[2]VPN_2022!$A$2:$Q$403,14,FALSE)</f>
        <v>Intel i3-6100 3.20GHz</v>
      </c>
      <c r="R327" s="10" t="str">
        <f>VLOOKUP($C327,[2]VPN_2022!$A$2:$Q$403,15,FALSE)</f>
        <v>4GB</v>
      </c>
      <c r="S327" s="10" t="str">
        <f>VLOOKUP($C327,[2]VPN_2022!$A$2:$Q$403,16,FALSE)</f>
        <v>HDD 500GB</v>
      </c>
      <c r="T327" s="10"/>
      <c r="U327" s="10">
        <v>5364</v>
      </c>
      <c r="V327" s="10" t="s">
        <v>713</v>
      </c>
      <c r="W327" s="11" t="s">
        <v>714</v>
      </c>
      <c r="X327" s="10" t="s">
        <v>1569</v>
      </c>
      <c r="Y327" s="12"/>
    </row>
    <row r="328" spans="1:25" x14ac:dyDescent="0.25">
      <c r="A328" s="3">
        <v>53</v>
      </c>
      <c r="B328" s="3" t="s">
        <v>25</v>
      </c>
      <c r="C328" s="4">
        <v>535720</v>
      </c>
      <c r="D328" s="5" t="s">
        <v>1570</v>
      </c>
      <c r="E328" s="3" t="str">
        <f>VLOOKUP(C328,'[1]Danh muc DPV để map DL'!$B$3:$N$209,6,FALSE)</f>
        <v>5335</v>
      </c>
      <c r="F328" s="5" t="str">
        <f>VLOOKUP(C328,'[1]Danh muc DPV để map DL'!$B$3:$N$209,7,FALSE)</f>
        <v>Bưu điện xã A Lưới 2</v>
      </c>
      <c r="G328" s="3"/>
      <c r="H328" s="5" t="s">
        <v>1571</v>
      </c>
      <c r="I328" s="5"/>
      <c r="J328" s="10" t="str">
        <f>VLOOKUP(C328,[2]VPN_2022!$A$2:$Q$403,9,FALSE)</f>
        <v>HUE-ALI-HKM</v>
      </c>
      <c r="K328" s="5"/>
      <c r="L328" s="5" t="str">
        <f>VLOOKUP(C328,[2]VPN_2022!$A$2:$Q$403,10,FALSE)</f>
        <v>HP Prodesk 600 G5</v>
      </c>
      <c r="M328" s="5"/>
      <c r="N328" s="5"/>
      <c r="O328" s="5"/>
      <c r="P328" s="5" t="s">
        <v>1572</v>
      </c>
      <c r="Q328" s="5" t="str">
        <f>VLOOKUP($C328,[2]VPN_2022!$A$2:$Q$403,14,FALSE)</f>
        <v>Intel i3 9100T 3.1GHz</v>
      </c>
      <c r="R328" s="5" t="str">
        <f>VLOOKUP($C328,[2]VPN_2022!$A$2:$Q$403,15,FALSE)</f>
        <v>4GB</v>
      </c>
      <c r="S328" s="5" t="str">
        <f>VLOOKUP($C328,[2]VPN_2022!$A$2:$Q$403,16,FALSE)</f>
        <v>HDD 500GB</v>
      </c>
      <c r="T328" s="5"/>
      <c r="U328" s="5">
        <v>5357</v>
      </c>
      <c r="V328" s="5" t="s">
        <v>891</v>
      </c>
      <c r="W328" s="6" t="s">
        <v>180</v>
      </c>
      <c r="X328" s="5" t="s">
        <v>433</v>
      </c>
      <c r="Y328" s="7"/>
    </row>
    <row r="329" spans="1:25" x14ac:dyDescent="0.25">
      <c r="A329" s="8">
        <v>53</v>
      </c>
      <c r="B329" s="8" t="s">
        <v>25</v>
      </c>
      <c r="C329" s="9">
        <v>535990</v>
      </c>
      <c r="D329" s="10" t="s">
        <v>1573</v>
      </c>
      <c r="E329" s="8" t="str">
        <f>VLOOKUP(C329,'[1]Danh muc DPV để map DL'!$B$3:$N$209,6,FALSE)</f>
        <v>5335</v>
      </c>
      <c r="F329" s="10" t="str">
        <f>VLOOKUP(C329,'[1]Danh muc DPV để map DL'!$B$3:$N$209,7,FALSE)</f>
        <v>Bưu điện xã A Lưới 2</v>
      </c>
      <c r="G329" s="8"/>
      <c r="H329" s="10" t="s">
        <v>1574</v>
      </c>
      <c r="I329" s="10"/>
      <c r="J329" s="10" t="str">
        <f>VLOOKUP(C329,[2]VPN_2022!$A$2:$Q$403,9,FALSE)</f>
        <v>HUE-ALI-HTY</v>
      </c>
      <c r="K329" s="10"/>
      <c r="L329" s="10" t="str">
        <f>VLOOKUP(C329,[2]VPN_2022!$A$2:$Q$403,10,FALSE)</f>
        <v>HP Prodesk 600 G5</v>
      </c>
      <c r="M329" s="10"/>
      <c r="N329" s="10"/>
      <c r="O329" s="10"/>
      <c r="P329" s="10" t="s">
        <v>1572</v>
      </c>
      <c r="Q329" s="10" t="str">
        <f>VLOOKUP($C329,[2]VPN_2022!$A$2:$Q$403,14,FALSE)</f>
        <v>Intel i3 9100T 3.1GHz</v>
      </c>
      <c r="R329" s="10" t="str">
        <f>VLOOKUP($C329,[2]VPN_2022!$A$2:$Q$403,15,FALSE)</f>
        <v>4GB</v>
      </c>
      <c r="S329" s="10" t="str">
        <f>VLOOKUP($C329,[2]VPN_2022!$A$2:$Q$403,16,FALSE)</f>
        <v>HDD 500GB</v>
      </c>
      <c r="T329" s="10"/>
      <c r="U329" s="10">
        <v>5357</v>
      </c>
      <c r="V329" s="10" t="s">
        <v>891</v>
      </c>
      <c r="W329" s="11" t="s">
        <v>180</v>
      </c>
      <c r="X329" s="10" t="s">
        <v>583</v>
      </c>
      <c r="Y329" s="12"/>
    </row>
    <row r="330" spans="1:25" x14ac:dyDescent="0.25">
      <c r="A330" s="3">
        <v>53</v>
      </c>
      <c r="B330" s="3" t="s">
        <v>25</v>
      </c>
      <c r="C330" s="4">
        <v>535750</v>
      </c>
      <c r="D330" s="5" t="s">
        <v>1575</v>
      </c>
      <c r="E330" s="3" t="str">
        <f>VLOOKUP(C330,'[1]Danh muc DPV để map DL'!$B$3:$N$209,6,FALSE)</f>
        <v>5335</v>
      </c>
      <c r="F330" s="5" t="str">
        <f>VLOOKUP(C330,'[1]Danh muc DPV để map DL'!$B$3:$N$209,7,FALSE)</f>
        <v>Bưu điện xã A Lưới 2</v>
      </c>
      <c r="G330" s="3"/>
      <c r="H330" s="5" t="s">
        <v>1576</v>
      </c>
      <c r="I330" s="5"/>
      <c r="J330" s="10" t="str">
        <f>VLOOKUP(C330,[2]VPN_2022!$A$2:$Q$403,9,FALSE)</f>
        <v>HUE-ALI-HVN</v>
      </c>
      <c r="K330" s="5"/>
      <c r="L330" s="5" t="str">
        <f>VLOOKUP(C330,[2]VPN_2022!$A$2:$Q$403,10,FALSE)</f>
        <v>Dell Optiplex 5060</v>
      </c>
      <c r="M330" s="5"/>
      <c r="N330" s="5"/>
      <c r="O330" s="5"/>
      <c r="P330" s="5" t="str">
        <f>VLOOKUP($C330,[2]VPN_2022!$A$2:$Q$403,17,FALSE)</f>
        <v>Microsoft Windows 10</v>
      </c>
      <c r="Q330" s="5" t="str">
        <f>VLOOKUP($C330,[2]VPN_2022!$A$2:$Q$403,14,FALSE)</f>
        <v>Intel i3-8100 3.20GHz</v>
      </c>
      <c r="R330" s="5" t="str">
        <f>VLOOKUP($C330,[2]VPN_2022!$A$2:$Q$403,15,FALSE)</f>
        <v>4GB</v>
      </c>
      <c r="S330" s="5" t="str">
        <f>VLOOKUP($C330,[2]VPN_2022!$A$2:$Q$403,16,FALSE)</f>
        <v>HDD 500GB</v>
      </c>
      <c r="T330" s="5"/>
      <c r="U330" s="5">
        <v>5357</v>
      </c>
      <c r="V330" s="5" t="s">
        <v>891</v>
      </c>
      <c r="W330" s="6" t="s">
        <v>180</v>
      </c>
      <c r="X330" s="5" t="s">
        <v>1577</v>
      </c>
      <c r="Y330" s="7"/>
    </row>
    <row r="331" spans="1:25" x14ac:dyDescent="0.25">
      <c r="A331" s="8">
        <v>53</v>
      </c>
      <c r="B331" s="8" t="s">
        <v>25</v>
      </c>
      <c r="C331" s="9">
        <v>535870</v>
      </c>
      <c r="D331" s="10" t="s">
        <v>1578</v>
      </c>
      <c r="E331" s="8" t="str">
        <f>VLOOKUP(C331,'[1]Danh muc DPV để map DL'!$B$3:$N$209,6,FALSE)</f>
        <v>5335</v>
      </c>
      <c r="F331" s="10" t="str">
        <f>VLOOKUP(C331,'[1]Danh muc DPV để map DL'!$B$3:$N$209,7,FALSE)</f>
        <v>Bưu điện xã A Lưới 2</v>
      </c>
      <c r="G331" s="8"/>
      <c r="H331" s="10" t="s">
        <v>1579</v>
      </c>
      <c r="I331" s="10"/>
      <c r="J331" s="10" t="str">
        <f>VLOOKUP(C331,[2]VPN_2022!$A$2:$Q$403,9,FALSE)</f>
        <v>HUE-ALI-ANO</v>
      </c>
      <c r="K331" s="10"/>
      <c r="L331" s="10" t="str">
        <f>VLOOKUP(C331,[2]VPN_2022!$A$2:$Q$403,10,FALSE)</f>
        <v>Dell Optiplex 5060</v>
      </c>
      <c r="M331" s="10"/>
      <c r="N331" s="10"/>
      <c r="O331" s="10"/>
      <c r="P331" s="10" t="str">
        <f>VLOOKUP($C331,[2]VPN_2022!$A$2:$Q$403,17,FALSE)</f>
        <v>Microsoft Windows 10</v>
      </c>
      <c r="Q331" s="10" t="str">
        <f>VLOOKUP($C331,[2]VPN_2022!$A$2:$Q$403,14,FALSE)</f>
        <v>Intel i3-8100 3.20GHz</v>
      </c>
      <c r="R331" s="10" t="str">
        <f>VLOOKUP($C331,[2]VPN_2022!$A$2:$Q$403,15,FALSE)</f>
        <v>4GB</v>
      </c>
      <c r="S331" s="10" t="str">
        <f>VLOOKUP($C331,[2]VPN_2022!$A$2:$Q$403,16,FALSE)</f>
        <v>HDD 500GB</v>
      </c>
      <c r="T331" s="10"/>
      <c r="U331" s="10">
        <v>5357</v>
      </c>
      <c r="V331" s="10" t="s">
        <v>891</v>
      </c>
      <c r="W331" s="11" t="s">
        <v>180</v>
      </c>
      <c r="X331" s="10" t="s">
        <v>1580</v>
      </c>
      <c r="Y331" s="12"/>
    </row>
    <row r="332" spans="1:25" x14ac:dyDescent="0.25">
      <c r="A332" s="3">
        <v>53</v>
      </c>
      <c r="B332" s="3" t="s">
        <v>25</v>
      </c>
      <c r="C332" s="4">
        <v>535760</v>
      </c>
      <c r="D332" s="5" t="s">
        <v>1581</v>
      </c>
      <c r="E332" s="3" t="str">
        <f>VLOOKUP(C332,'[1]Danh muc DPV để map DL'!$B$3:$N$209,6,FALSE)</f>
        <v>5335</v>
      </c>
      <c r="F332" s="5" t="str">
        <f>VLOOKUP(C332,'[1]Danh muc DPV để map DL'!$B$3:$N$209,7,FALSE)</f>
        <v>Bưu điện xã A Lưới 2</v>
      </c>
      <c r="G332" s="3"/>
      <c r="H332" s="5" t="s">
        <v>1582</v>
      </c>
      <c r="I332" s="5"/>
      <c r="J332" s="10"/>
      <c r="K332" s="5"/>
      <c r="L332" s="5" t="str">
        <f>VLOOKUP(C332,[2]VPN_2022!$A$2:$Q$403,10,FALSE)</f>
        <v>Dell Optiplex 5060</v>
      </c>
      <c r="M332" s="5"/>
      <c r="N332" s="5"/>
      <c r="O332" s="5"/>
      <c r="P332" s="5" t="s">
        <v>1572</v>
      </c>
      <c r="Q332" s="5" t="str">
        <f>VLOOKUP($C332,[2]VPN_2022!$A$2:$Q$403,14,FALSE)</f>
        <v>Intel i3-8100 3.20GHz</v>
      </c>
      <c r="R332" s="5" t="str">
        <f>VLOOKUP($C332,[2]VPN_2022!$A$2:$Q$403,15,FALSE)</f>
        <v>4GB</v>
      </c>
      <c r="S332" s="5" t="str">
        <f>VLOOKUP($C332,[2]VPN_2022!$A$2:$Q$403,16,FALSE)</f>
        <v>HDD 500GB</v>
      </c>
      <c r="T332" s="5"/>
      <c r="U332" s="5">
        <v>5357</v>
      </c>
      <c r="V332" s="5" t="s">
        <v>891</v>
      </c>
      <c r="W332" s="6" t="s">
        <v>180</v>
      </c>
      <c r="X332" s="5" t="s">
        <v>1583</v>
      </c>
      <c r="Y332" s="7"/>
    </row>
    <row r="333" spans="1:25" x14ac:dyDescent="0.25">
      <c r="A333" s="8">
        <v>53</v>
      </c>
      <c r="B333" s="8" t="s">
        <v>25</v>
      </c>
      <c r="C333" s="9">
        <v>535780</v>
      </c>
      <c r="D333" s="10" t="s">
        <v>1584</v>
      </c>
      <c r="E333" s="8" t="str">
        <f>VLOOKUP(C333,'[1]Danh muc DPV để map DL'!$B$3:$N$209,6,FALSE)</f>
        <v>5335</v>
      </c>
      <c r="F333" s="10" t="str">
        <f>VLOOKUP(C333,'[1]Danh muc DPV để map DL'!$B$3:$N$209,7,FALSE)</f>
        <v>Bưu điện xã A Lưới 2</v>
      </c>
      <c r="G333" s="8"/>
      <c r="H333" s="10" t="s">
        <v>1585</v>
      </c>
      <c r="I333" s="10"/>
      <c r="J333" s="10" t="str">
        <f>VLOOKUP(C333,[2]VPN_2022!$A$2:$Q$403,9,FALSE)</f>
        <v>HUE-ALI-NHAM</v>
      </c>
      <c r="K333" s="10"/>
      <c r="L333" s="10" t="str">
        <f>VLOOKUP(C333,[2]VPN_2022!$A$2:$Q$403,10,FALSE)</f>
        <v>HP Prodesk 600 G5</v>
      </c>
      <c r="M333" s="10"/>
      <c r="N333" s="10"/>
      <c r="O333" s="10"/>
      <c r="P333" s="10" t="str">
        <f>VLOOKUP($C333,[2]VPN_2022!$A$2:$Q$403,17,FALSE)</f>
        <v>Microsoft Windows 11</v>
      </c>
      <c r="Q333" s="10" t="str">
        <f>VLOOKUP($C333,[2]VPN_2022!$A$2:$Q$403,14,FALSE)</f>
        <v>Intel i3 9100T 3.1GHz</v>
      </c>
      <c r="R333" s="10" t="str">
        <f>VLOOKUP($C333,[2]VPN_2022!$A$2:$Q$403,15,FALSE)</f>
        <v>4GB</v>
      </c>
      <c r="S333" s="10" t="str">
        <f>VLOOKUP($C333,[2]VPN_2022!$A$2:$Q$403,16,FALSE)</f>
        <v>HDD 500GB</v>
      </c>
      <c r="T333" s="10"/>
      <c r="U333" s="10">
        <v>5357</v>
      </c>
      <c r="V333" s="10" t="s">
        <v>891</v>
      </c>
      <c r="W333" s="11" t="s">
        <v>180</v>
      </c>
      <c r="X333" s="10" t="s">
        <v>892</v>
      </c>
      <c r="Y333" s="12"/>
    </row>
    <row r="334" spans="1:25" x14ac:dyDescent="0.25">
      <c r="A334" s="3">
        <v>53</v>
      </c>
      <c r="B334" s="3" t="s">
        <v>25</v>
      </c>
      <c r="C334" s="4">
        <v>535910</v>
      </c>
      <c r="D334" s="5" t="s">
        <v>1586</v>
      </c>
      <c r="E334" s="3" t="str">
        <f>VLOOKUP(C334,'[1]Danh muc DPV để map DL'!$B$3:$N$209,6,FALSE)</f>
        <v>5336</v>
      </c>
      <c r="F334" s="5" t="str">
        <f>VLOOKUP(C334,'[1]Danh muc DPV để map DL'!$B$3:$N$209,7,FALSE)</f>
        <v>Bưu điện xã A Lưới 3</v>
      </c>
      <c r="G334" s="3"/>
      <c r="H334" s="5" t="s">
        <v>1587</v>
      </c>
      <c r="I334" s="5"/>
      <c r="J334" s="10" t="str">
        <f>VLOOKUP(C334,[2]VPN_2022!$A$2:$Q$403,9,FALSE)</f>
        <v>HUE-ALI-BDO</v>
      </c>
      <c r="K334" s="5"/>
      <c r="L334" s="5" t="str">
        <f>VLOOKUP(C334,[2]VPN_2022!$A$2:$Q$403,10,FALSE)</f>
        <v>Lắp ráp ĐNA h81</v>
      </c>
      <c r="M334" s="5"/>
      <c r="N334" s="5"/>
      <c r="O334" s="5"/>
      <c r="P334" s="5" t="str">
        <f>VLOOKUP($C334,[2]VPN_2022!$A$2:$Q$403,17,FALSE)</f>
        <v>Microsoft Windows 7</v>
      </c>
      <c r="Q334" s="5" t="str">
        <f>VLOOKUP($C334,[2]VPN_2022!$A$2:$Q$403,14,FALSE)</f>
        <v>Intel G4400 3.3GHz</v>
      </c>
      <c r="R334" s="5" t="str">
        <f>VLOOKUP($C334,[2]VPN_2022!$A$2:$Q$403,15,FALSE)</f>
        <v>4GB</v>
      </c>
      <c r="S334" s="5" t="str">
        <f>VLOOKUP($C334,[2]VPN_2022!$A$2:$Q$403,16,FALSE)</f>
        <v>HDD 500GB</v>
      </c>
      <c r="T334" s="5"/>
      <c r="U334" s="5">
        <v>5357</v>
      </c>
      <c r="V334" s="5" t="s">
        <v>891</v>
      </c>
      <c r="W334" s="6">
        <v>5335</v>
      </c>
      <c r="X334" s="5" t="s">
        <v>1588</v>
      </c>
      <c r="Y334" s="7"/>
    </row>
    <row r="335" spans="1:25" x14ac:dyDescent="0.25">
      <c r="A335" s="8">
        <v>53</v>
      </c>
      <c r="B335" s="8" t="s">
        <v>25</v>
      </c>
      <c r="C335" s="9">
        <v>535820</v>
      </c>
      <c r="D335" s="10" t="s">
        <v>1589</v>
      </c>
      <c r="E335" s="8" t="str">
        <f>VLOOKUP(C335,'[1]Danh muc DPV để map DL'!$B$3:$N$209,6,FALSE)</f>
        <v>5336</v>
      </c>
      <c r="F335" s="10" t="str">
        <f>VLOOKUP(C335,'[1]Danh muc DPV để map DL'!$B$3:$N$209,7,FALSE)</f>
        <v>Bưu điện xã A Lưới 3</v>
      </c>
      <c r="G335" s="8"/>
      <c r="H335" s="10" t="s">
        <v>1590</v>
      </c>
      <c r="I335" s="10"/>
      <c r="J335" s="10"/>
      <c r="K335" s="10"/>
      <c r="L335" s="10" t="str">
        <f>VLOOKUP(C335,[2]VPN_2022!$A$2:$Q$403,10,FALSE)</f>
        <v>Dell Optiplex 5060</v>
      </c>
      <c r="M335" s="10"/>
      <c r="N335" s="10"/>
      <c r="O335" s="10"/>
      <c r="P335" s="10" t="s">
        <v>1572</v>
      </c>
      <c r="Q335" s="10" t="str">
        <f>VLOOKUP($C335,[2]VPN_2022!$A$2:$Q$403,14,FALSE)</f>
        <v>Intel i3-8100 3.20GHz</v>
      </c>
      <c r="R335" s="10" t="str">
        <f>VLOOKUP($C335,[2]VPN_2022!$A$2:$Q$403,15,FALSE)</f>
        <v>4GB</v>
      </c>
      <c r="S335" s="10" t="str">
        <f>VLOOKUP($C335,[2]VPN_2022!$A$2:$Q$403,16,FALSE)</f>
        <v>HDD 500GB</v>
      </c>
      <c r="T335" s="10"/>
      <c r="U335" s="10">
        <v>5357</v>
      </c>
      <c r="V335" s="10" t="s">
        <v>891</v>
      </c>
      <c r="W335" s="11">
        <v>5335</v>
      </c>
      <c r="X335" s="10" t="s">
        <v>1591</v>
      </c>
      <c r="Y335" s="12"/>
    </row>
    <row r="336" spans="1:25" x14ac:dyDescent="0.25">
      <c r="A336" s="3">
        <v>53</v>
      </c>
      <c r="B336" s="3" t="s">
        <v>25</v>
      </c>
      <c r="C336" s="4">
        <v>535911</v>
      </c>
      <c r="D336" s="5" t="s">
        <v>1592</v>
      </c>
      <c r="E336" s="3" t="str">
        <f>VLOOKUP(C336,'[1]Danh muc DPV để map DL'!$B$3:$N$209,6,FALSE)</f>
        <v>5336</v>
      </c>
      <c r="F336" s="5" t="str">
        <f>VLOOKUP(C336,'[1]Danh muc DPV để map DL'!$B$3:$N$209,7,FALSE)</f>
        <v>Bưu điện xã A Lưới 3</v>
      </c>
      <c r="G336" s="3"/>
      <c r="H336" s="5" t="s">
        <v>1593</v>
      </c>
      <c r="I336" s="5"/>
      <c r="J336" s="10"/>
      <c r="K336" s="5"/>
      <c r="L336" s="5" t="s">
        <v>1594</v>
      </c>
      <c r="M336" s="5"/>
      <c r="N336" s="5"/>
      <c r="O336" s="5"/>
      <c r="P336" s="5" t="s">
        <v>1572</v>
      </c>
      <c r="Q336" s="5" t="str">
        <f>VLOOKUP($C336,[2]VPN_2022!$A$2:$Q$403,14,FALSE)</f>
        <v>Intel i3 7100 3.9GHz</v>
      </c>
      <c r="R336" s="5" t="str">
        <f>VLOOKUP($C336,[2]VPN_2022!$A$2:$Q$403,15,FALSE)</f>
        <v>4GB</v>
      </c>
      <c r="S336" s="5" t="str">
        <f>VLOOKUP($C336,[2]VPN_2022!$A$2:$Q$403,16,FALSE)</f>
        <v>HDD 500GB</v>
      </c>
      <c r="T336" s="5"/>
      <c r="U336" s="5">
        <v>5357</v>
      </c>
      <c r="V336" s="5" t="s">
        <v>891</v>
      </c>
      <c r="W336" s="6">
        <v>5335</v>
      </c>
      <c r="X336" s="5" t="s">
        <v>1595</v>
      </c>
      <c r="Y336" s="7"/>
    </row>
    <row r="337" spans="1:25" x14ac:dyDescent="0.25">
      <c r="A337" s="8">
        <v>53</v>
      </c>
      <c r="B337" s="8" t="s">
        <v>25</v>
      </c>
      <c r="C337" s="9">
        <v>535930</v>
      </c>
      <c r="D337" s="10" t="s">
        <v>1596</v>
      </c>
      <c r="E337" s="8" t="str">
        <f>VLOOKUP(C337,'[1]Danh muc DPV để map DL'!$B$3:$N$209,6,FALSE)</f>
        <v>5336</v>
      </c>
      <c r="F337" s="10" t="str">
        <f>VLOOKUP(C337,'[1]Danh muc DPV để map DL'!$B$3:$N$209,7,FALSE)</f>
        <v>Bưu điện xã A Lưới 3</v>
      </c>
      <c r="G337" s="8"/>
      <c r="H337" s="10" t="s">
        <v>1597</v>
      </c>
      <c r="I337" s="10"/>
      <c r="J337" s="10" t="str">
        <f>VLOOKUP(C337,[2]VPN_2022!$A$2:$Q$403,9,FALSE)</f>
        <v>HUE-ALI-HLM</v>
      </c>
      <c r="K337" s="10"/>
      <c r="L337" s="10" t="s">
        <v>1594</v>
      </c>
      <c r="M337" s="10"/>
      <c r="N337" s="10"/>
      <c r="O337" s="10"/>
      <c r="P337" s="10" t="str">
        <f>VLOOKUP($C337,[2]VPN_2022!$A$2:$Q$403,17,FALSE)</f>
        <v>Microsoft Windows 7</v>
      </c>
      <c r="Q337" s="10" t="str">
        <f>VLOOKUP($C337,[2]VPN_2022!$A$2:$Q$403,14,FALSE)</f>
        <v>Intel i3 7100 3.9GHz</v>
      </c>
      <c r="R337" s="10" t="str">
        <f>VLOOKUP($C337,[2]VPN_2022!$A$2:$Q$403,15,FALSE)</f>
        <v>4GB</v>
      </c>
      <c r="S337" s="10" t="str">
        <f>VLOOKUP($C337,[2]VPN_2022!$A$2:$Q$403,16,FALSE)</f>
        <v>HDD 500GB</v>
      </c>
      <c r="T337" s="10"/>
      <c r="U337" s="10">
        <v>5357</v>
      </c>
      <c r="V337" s="10" t="s">
        <v>891</v>
      </c>
      <c r="W337" s="11">
        <v>5335</v>
      </c>
      <c r="X337" s="10" t="s">
        <v>1598</v>
      </c>
      <c r="Y337" s="12"/>
    </row>
    <row r="338" spans="1:25" x14ac:dyDescent="0.25">
      <c r="A338" s="3">
        <v>53</v>
      </c>
      <c r="B338" s="3" t="s">
        <v>25</v>
      </c>
      <c r="C338" s="4">
        <v>535920</v>
      </c>
      <c r="D338" s="5" t="s">
        <v>92</v>
      </c>
      <c r="E338" s="3" t="str">
        <f>VLOOKUP(C338,'[1]Danh muc DPV để map DL'!$B$3:$N$209,6,FALSE)</f>
        <v>5336</v>
      </c>
      <c r="F338" s="5" t="str">
        <f>VLOOKUP(C338,'[1]Danh muc DPV để map DL'!$B$3:$N$209,7,FALSE)</f>
        <v>Bưu điện xã A Lưới 3</v>
      </c>
      <c r="G338" s="3"/>
      <c r="H338" s="5" t="s">
        <v>1599</v>
      </c>
      <c r="I338" s="5"/>
      <c r="J338" s="10"/>
      <c r="K338" s="5"/>
      <c r="L338" s="5" t="str">
        <f>VLOOKUP(C338,[2]VPN_2022!$A$2:$Q$403,10,FALSE)</f>
        <v>HP Prodesk 600 G5</v>
      </c>
      <c r="M338" s="5"/>
      <c r="N338" s="5"/>
      <c r="O338" s="5"/>
      <c r="P338" s="5" t="s">
        <v>1572</v>
      </c>
      <c r="Q338" s="5" t="str">
        <f>VLOOKUP($C338,[2]VPN_2022!$A$2:$Q$403,14,FALSE)</f>
        <v>Intel i3 9100T 3.1GHz</v>
      </c>
      <c r="R338" s="5" t="str">
        <f>VLOOKUP($C338,[2]VPN_2022!$A$2:$Q$403,15,FALSE)</f>
        <v>4GB</v>
      </c>
      <c r="S338" s="5" t="str">
        <f>VLOOKUP($C338,[2]VPN_2022!$A$2:$Q$403,16,FALSE)</f>
        <v>HDD 500GB</v>
      </c>
      <c r="T338" s="5"/>
      <c r="U338" s="5">
        <v>5357</v>
      </c>
      <c r="V338" s="5" t="s">
        <v>891</v>
      </c>
      <c r="W338" s="6">
        <v>5335</v>
      </c>
      <c r="X338" s="5" t="s">
        <v>1600</v>
      </c>
      <c r="Y338" s="7"/>
    </row>
    <row r="339" spans="1:25" x14ac:dyDescent="0.25">
      <c r="A339" s="8">
        <v>53</v>
      </c>
      <c r="B339" s="8" t="s">
        <v>25</v>
      </c>
      <c r="C339" s="9">
        <v>536780</v>
      </c>
      <c r="D339" s="10" t="s">
        <v>1601</v>
      </c>
      <c r="E339" s="8" t="str">
        <f>VLOOKUP(C339,'[1]Danh muc DPV để map DL'!$B$3:$N$209,6,FALSE)</f>
        <v>5339</v>
      </c>
      <c r="F339" s="10" t="str">
        <f>VLOOKUP(C339,'[1]Danh muc DPV để map DL'!$B$3:$N$209,7,FALSE)</f>
        <v>Bưu điện phường Dương Nỗ</v>
      </c>
      <c r="G339" s="8"/>
      <c r="H339" s="10" t="s">
        <v>1602</v>
      </c>
      <c r="I339" s="10"/>
      <c r="J339" s="10" t="str">
        <f>VLOOKUP(C339,[2]VPN_2022!$A$2:$Q$403,9,FALSE)</f>
        <v>HUE-TP-PTH</v>
      </c>
      <c r="K339" s="10"/>
      <c r="L339" s="10" t="str">
        <f>VLOOKUP(C339,[2]VPN_2022!$A$2:$Q$403,10,FALSE)</f>
        <v>Lắp ráp ĐNA</v>
      </c>
      <c r="M339" s="10"/>
      <c r="N339" s="10"/>
      <c r="O339" s="10"/>
      <c r="P339" s="10" t="str">
        <f>VLOOKUP($C339,[2]VPN_2022!$A$2:$Q$403,17,FALSE)</f>
        <v>Microsoft Windows 10</v>
      </c>
      <c r="Q339" s="10" t="str">
        <f>VLOOKUP($C339,[2]VPN_2022!$A$2:$Q$403,14,FALSE)</f>
        <v>Intel G4400 3.3GHz</v>
      </c>
      <c r="R339" s="10" t="str">
        <f>VLOOKUP($C339,[2]VPN_2022!$A$2:$Q$403,15,FALSE)</f>
        <v>4GB</v>
      </c>
      <c r="S339" s="10" t="str">
        <f>VLOOKUP($C339,[2]VPN_2022!$A$2:$Q$403,16,FALSE)</f>
        <v>HDD 500GB</v>
      </c>
      <c r="T339" s="10"/>
      <c r="U339" s="10">
        <v>5310</v>
      </c>
      <c r="V339" s="10" t="s">
        <v>27</v>
      </c>
      <c r="W339" s="11" t="s">
        <v>44</v>
      </c>
      <c r="X339" s="10" t="s">
        <v>1603</v>
      </c>
      <c r="Y339" s="12"/>
    </row>
    <row r="340" spans="1:25" x14ac:dyDescent="0.25">
      <c r="A340" s="3">
        <v>53</v>
      </c>
      <c r="B340" s="3" t="s">
        <v>25</v>
      </c>
      <c r="C340" s="4">
        <v>535410</v>
      </c>
      <c r="D340" s="5" t="s">
        <v>1604</v>
      </c>
      <c r="E340" s="3" t="str">
        <f>VLOOKUP(C340,'[1]Danh muc DPV để map DL'!$B$3:$N$209,6,FALSE)</f>
        <v>5341</v>
      </c>
      <c r="F340" s="5" t="str">
        <f>VLOOKUP(C340,'[1]Danh muc DPV để map DL'!$B$3:$N$209,7,FALSE)</f>
        <v>Bưu điện phường Hương Trà</v>
      </c>
      <c r="G340" s="3"/>
      <c r="H340" s="5" t="s">
        <v>1605</v>
      </c>
      <c r="I340" s="5"/>
      <c r="J340" s="10" t="str">
        <f>VLOOKUP(C340,[2]VPN_2022!$A$2:$Q$403,9,FALSE)</f>
        <v>HUE-HTA-HVAWN</v>
      </c>
      <c r="K340" s="5"/>
      <c r="L340" s="5" t="str">
        <f>VLOOKUP(C340,[2]VPN_2022!$A$2:$Q$403,10,FALSE)</f>
        <v>Lắp ráp ĐNA</v>
      </c>
      <c r="M340" s="5"/>
      <c r="N340" s="5"/>
      <c r="O340" s="5"/>
      <c r="P340" s="5" t="str">
        <f>VLOOKUP($C340,[2]VPN_2022!$A$2:$Q$403,17,FALSE)</f>
        <v>Microsoft Windows 10</v>
      </c>
      <c r="Q340" s="5" t="str">
        <f>VLOOKUP($C340,[2]VPN_2022!$A$2:$Q$403,14,FALSE)</f>
        <v>Intel G5905 3.5GHz</v>
      </c>
      <c r="R340" s="5" t="str">
        <f>VLOOKUP($C340,[2]VPN_2022!$A$2:$Q$403,15,FALSE)</f>
        <v>4GB</v>
      </c>
      <c r="S340" s="5" t="str">
        <f>VLOOKUP($C340,[2]VPN_2022!$A$2:$Q$403,16,FALSE)</f>
        <v>SSD 256GB</v>
      </c>
      <c r="T340" s="5"/>
      <c r="U340" s="5">
        <v>5353</v>
      </c>
      <c r="V340" s="5" t="s">
        <v>118</v>
      </c>
      <c r="W340" s="6" t="s">
        <v>180</v>
      </c>
      <c r="X340" s="5" t="s">
        <v>1606</v>
      </c>
      <c r="Y340" s="7"/>
    </row>
    <row r="341" spans="1:25" x14ac:dyDescent="0.25">
      <c r="A341" s="8">
        <v>53</v>
      </c>
      <c r="B341" s="8" t="s">
        <v>25</v>
      </c>
      <c r="C341" s="9">
        <v>535510</v>
      </c>
      <c r="D341" s="10" t="s">
        <v>1607</v>
      </c>
      <c r="E341" s="8"/>
      <c r="F341" s="10"/>
      <c r="G341" s="8"/>
      <c r="H341" s="10" t="s">
        <v>1608</v>
      </c>
      <c r="I341" s="14">
        <f ca="1">IF(H341="", "", IF(OR(I341="", I341=0), NOW(), I341))</f>
        <v>46240.65005729167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>
        <v>5353</v>
      </c>
      <c r="V341" s="10" t="s">
        <v>118</v>
      </c>
      <c r="W341" s="11"/>
      <c r="X341" s="10" t="s">
        <v>1609</v>
      </c>
      <c r="Y341" s="12">
        <v>1</v>
      </c>
    </row>
    <row r="342" spans="1:25" x14ac:dyDescent="0.25">
      <c r="A342" s="3">
        <v>53</v>
      </c>
      <c r="B342" s="3" t="s">
        <v>25</v>
      </c>
      <c r="C342" s="4">
        <v>535730</v>
      </c>
      <c r="D342" s="5" t="s">
        <v>1610</v>
      </c>
      <c r="E342" s="3"/>
      <c r="F342" s="5"/>
      <c r="G342" s="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>
        <v>5357</v>
      </c>
      <c r="V342" s="5" t="s">
        <v>891</v>
      </c>
      <c r="W342" s="6"/>
      <c r="X342" s="5" t="s">
        <v>583</v>
      </c>
      <c r="Y342" s="7">
        <v>1</v>
      </c>
    </row>
    <row r="343" spans="1:25" x14ac:dyDescent="0.25">
      <c r="A343" s="8">
        <v>53</v>
      </c>
      <c r="B343" s="8" t="s">
        <v>25</v>
      </c>
      <c r="C343" s="9">
        <v>535770</v>
      </c>
      <c r="D343" s="10" t="s">
        <v>1611</v>
      </c>
      <c r="E343" s="8"/>
      <c r="F343" s="10"/>
      <c r="G343" s="8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>
        <v>5357</v>
      </c>
      <c r="V343" s="10" t="s">
        <v>891</v>
      </c>
      <c r="W343" s="11"/>
      <c r="X343" s="10" t="s">
        <v>576</v>
      </c>
      <c r="Y343" s="12">
        <v>1</v>
      </c>
    </row>
    <row r="344" spans="1:25" x14ac:dyDescent="0.25">
      <c r="A344" s="3">
        <v>53</v>
      </c>
      <c r="B344" s="3" t="s">
        <v>25</v>
      </c>
      <c r="C344" s="4">
        <v>535850</v>
      </c>
      <c r="D344" s="5" t="s">
        <v>1612</v>
      </c>
      <c r="E344" s="3"/>
      <c r="F344" s="5"/>
      <c r="G344" s="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>
        <v>5357</v>
      </c>
      <c r="V344" s="5" t="s">
        <v>891</v>
      </c>
      <c r="W344" s="6"/>
      <c r="X344" s="5" t="s">
        <v>1613</v>
      </c>
      <c r="Y344" s="7">
        <v>1</v>
      </c>
    </row>
    <row r="345" spans="1:25" x14ac:dyDescent="0.25">
      <c r="A345" s="8">
        <v>53</v>
      </c>
      <c r="B345" s="8" t="s">
        <v>25</v>
      </c>
      <c r="C345" s="9">
        <v>531010</v>
      </c>
      <c r="D345" s="10" t="s">
        <v>1614</v>
      </c>
      <c r="E345" s="8"/>
      <c r="F345" s="10"/>
      <c r="G345" s="8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>
        <v>5310</v>
      </c>
      <c r="V345" s="10" t="s">
        <v>27</v>
      </c>
      <c r="W345" s="11"/>
      <c r="X345" s="10" t="s">
        <v>1615</v>
      </c>
      <c r="Y345" s="12">
        <v>1</v>
      </c>
    </row>
    <row r="346" spans="1:25" x14ac:dyDescent="0.25">
      <c r="A346" s="3">
        <v>53</v>
      </c>
      <c r="B346" s="3" t="s">
        <v>25</v>
      </c>
      <c r="C346" s="4">
        <v>533645</v>
      </c>
      <c r="D346" s="5" t="s">
        <v>1616</v>
      </c>
      <c r="E346" s="3"/>
      <c r="F346" s="5"/>
      <c r="G346" s="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>
        <v>5310</v>
      </c>
      <c r="V346" s="5" t="s">
        <v>27</v>
      </c>
      <c r="W346" s="6"/>
      <c r="X346" s="5" t="s">
        <v>1617</v>
      </c>
      <c r="Y346" s="7">
        <v>1</v>
      </c>
    </row>
    <row r="347" spans="1:25" x14ac:dyDescent="0.25">
      <c r="A347" s="8">
        <v>53</v>
      </c>
      <c r="B347" s="8" t="s">
        <v>25</v>
      </c>
      <c r="C347" s="9">
        <v>531000</v>
      </c>
      <c r="D347" s="10" t="s">
        <v>1618</v>
      </c>
      <c r="E347" s="8"/>
      <c r="F347" s="10"/>
      <c r="G347" s="8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>
        <v>5310</v>
      </c>
      <c r="V347" s="10" t="s">
        <v>27</v>
      </c>
      <c r="W347" s="11"/>
      <c r="X347" s="10" t="s">
        <v>234</v>
      </c>
      <c r="Y347" s="12">
        <v>1</v>
      </c>
    </row>
    <row r="348" spans="1:25" x14ac:dyDescent="0.25">
      <c r="A348" s="3">
        <v>53</v>
      </c>
      <c r="B348" s="3" t="s">
        <v>25</v>
      </c>
      <c r="C348" s="4">
        <v>533040</v>
      </c>
      <c r="D348" s="5" t="s">
        <v>1619</v>
      </c>
      <c r="E348" s="3"/>
      <c r="F348" s="5"/>
      <c r="G348" s="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>
        <v>5310</v>
      </c>
      <c r="V348" s="5" t="s">
        <v>27</v>
      </c>
      <c r="W348" s="6"/>
      <c r="X348" s="5" t="s">
        <v>1620</v>
      </c>
      <c r="Y348" s="7">
        <v>1</v>
      </c>
    </row>
    <row r="349" spans="1:25" x14ac:dyDescent="0.25">
      <c r="A349" s="8">
        <v>53</v>
      </c>
      <c r="B349" s="8" t="s">
        <v>25</v>
      </c>
      <c r="C349" s="9">
        <v>531150</v>
      </c>
      <c r="D349" s="10" t="s">
        <v>1621</v>
      </c>
      <c r="E349" s="8"/>
      <c r="F349" s="10"/>
      <c r="G349" s="8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>
        <v>5310</v>
      </c>
      <c r="V349" s="10" t="s">
        <v>27</v>
      </c>
      <c r="W349" s="11"/>
      <c r="X349" s="10" t="s">
        <v>1622</v>
      </c>
      <c r="Y349" s="12">
        <v>1</v>
      </c>
    </row>
    <row r="350" spans="1:25" x14ac:dyDescent="0.25">
      <c r="A350" s="3">
        <v>53</v>
      </c>
      <c r="B350" s="3" t="s">
        <v>25</v>
      </c>
      <c r="C350" s="4">
        <v>536160</v>
      </c>
      <c r="D350" s="5" t="s">
        <v>1623</v>
      </c>
      <c r="E350" s="3"/>
      <c r="F350" s="5"/>
      <c r="G350" s="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>
        <v>5361</v>
      </c>
      <c r="V350" s="5" t="s">
        <v>370</v>
      </c>
      <c r="W350" s="6"/>
      <c r="X350" s="5" t="s">
        <v>1624</v>
      </c>
      <c r="Y350" s="7">
        <v>1</v>
      </c>
    </row>
    <row r="351" spans="1:25" x14ac:dyDescent="0.25">
      <c r="A351" s="8">
        <v>53</v>
      </c>
      <c r="B351" s="8" t="s">
        <v>25</v>
      </c>
      <c r="C351" s="9">
        <v>536102</v>
      </c>
      <c r="D351" s="10" t="s">
        <v>1625</v>
      </c>
      <c r="E351" s="8"/>
      <c r="F351" s="10"/>
      <c r="G351" s="8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>
        <v>5361</v>
      </c>
      <c r="V351" s="10" t="s">
        <v>370</v>
      </c>
      <c r="W351" s="11"/>
      <c r="X351" s="10" t="s">
        <v>1626</v>
      </c>
      <c r="Y351" s="12">
        <v>1</v>
      </c>
    </row>
    <row r="352" spans="1:25" x14ac:dyDescent="0.25">
      <c r="A352" s="3">
        <v>53</v>
      </c>
      <c r="B352" s="3" t="s">
        <v>25</v>
      </c>
      <c r="C352" s="4">
        <v>535480</v>
      </c>
      <c r="D352" s="5" t="s">
        <v>1627</v>
      </c>
      <c r="E352" s="3"/>
      <c r="F352" s="5"/>
      <c r="G352" s="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>
        <v>5353</v>
      </c>
      <c r="V352" s="5" t="s">
        <v>118</v>
      </c>
      <c r="W352" s="6"/>
      <c r="X352" s="5" t="s">
        <v>1628</v>
      </c>
      <c r="Y352" s="7">
        <v>1</v>
      </c>
    </row>
    <row r="353" spans="1:25" x14ac:dyDescent="0.25">
      <c r="A353" s="8">
        <v>53</v>
      </c>
      <c r="B353" s="8" t="s">
        <v>25</v>
      </c>
      <c r="C353" s="9">
        <v>536440</v>
      </c>
      <c r="D353" s="10" t="s">
        <v>1629</v>
      </c>
      <c r="E353" s="8"/>
      <c r="F353" s="10"/>
      <c r="G353" s="8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>
        <v>5364</v>
      </c>
      <c r="V353" s="10" t="s">
        <v>713</v>
      </c>
      <c r="W353" s="11"/>
      <c r="X353" s="10" t="s">
        <v>1630</v>
      </c>
      <c r="Y353" s="12">
        <v>1</v>
      </c>
    </row>
    <row r="354" spans="1:25" x14ac:dyDescent="0.25">
      <c r="A354" s="3">
        <v>53</v>
      </c>
      <c r="B354" s="3" t="s">
        <v>25</v>
      </c>
      <c r="C354" s="4">
        <v>537101</v>
      </c>
      <c r="D354" s="5" t="s">
        <v>1631</v>
      </c>
      <c r="E354" s="3"/>
      <c r="F354" s="5"/>
      <c r="G354" s="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>
        <v>5371</v>
      </c>
      <c r="V354" s="5" t="s">
        <v>713</v>
      </c>
      <c r="W354" s="6"/>
      <c r="X354" s="5" t="s">
        <v>1632</v>
      </c>
      <c r="Y354" s="7">
        <v>1</v>
      </c>
    </row>
    <row r="355" spans="1:25" x14ac:dyDescent="0.25">
      <c r="A355" s="8">
        <v>53</v>
      </c>
      <c r="B355" s="8" t="s">
        <v>25</v>
      </c>
      <c r="C355" s="9">
        <v>537200</v>
      </c>
      <c r="D355" s="10" t="s">
        <v>1633</v>
      </c>
      <c r="E355" s="8"/>
      <c r="F355" s="10"/>
      <c r="G355" s="8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>
        <v>5371</v>
      </c>
      <c r="V355" s="10" t="s">
        <v>713</v>
      </c>
      <c r="W355" s="11"/>
      <c r="X355" s="10" t="s">
        <v>1634</v>
      </c>
      <c r="Y355" s="12">
        <v>1</v>
      </c>
    </row>
    <row r="356" spans="1:25" x14ac:dyDescent="0.25">
      <c r="A356" s="3">
        <v>53</v>
      </c>
      <c r="B356" s="3" t="s">
        <v>25</v>
      </c>
      <c r="C356" s="4">
        <v>536760</v>
      </c>
      <c r="D356" s="5" t="s">
        <v>1635</v>
      </c>
      <c r="E356" s="3"/>
      <c r="F356" s="5"/>
      <c r="G356" s="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>
        <v>5367</v>
      </c>
      <c r="V356" s="5" t="s">
        <v>83</v>
      </c>
      <c r="W356" s="6"/>
      <c r="X356" s="5" t="s">
        <v>1636</v>
      </c>
      <c r="Y356" s="7">
        <v>1</v>
      </c>
    </row>
    <row r="357" spans="1:25" x14ac:dyDescent="0.25">
      <c r="A357" s="8">
        <v>53</v>
      </c>
      <c r="B357" s="8" t="s">
        <v>25</v>
      </c>
      <c r="C357" s="9">
        <v>536870</v>
      </c>
      <c r="D357" s="10" t="s">
        <v>1637</v>
      </c>
      <c r="E357" s="8"/>
      <c r="F357" s="10"/>
      <c r="G357" s="8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>
        <v>5367</v>
      </c>
      <c r="V357" s="10" t="s">
        <v>83</v>
      </c>
      <c r="W357" s="11"/>
      <c r="X357" s="10" t="s">
        <v>1638</v>
      </c>
      <c r="Y357" s="12">
        <v>1</v>
      </c>
    </row>
    <row r="358" spans="1:25" x14ac:dyDescent="0.25">
      <c r="A358" s="3">
        <v>53</v>
      </c>
      <c r="B358" s="3" t="s">
        <v>25</v>
      </c>
      <c r="C358" s="4">
        <v>536910</v>
      </c>
      <c r="D358" s="5" t="s">
        <v>1639</v>
      </c>
      <c r="E358" s="3"/>
      <c r="F358" s="5"/>
      <c r="G358" s="3"/>
      <c r="H358" s="5" t="s">
        <v>1640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>
        <v>5367</v>
      </c>
      <c r="V358" s="5" t="s">
        <v>83</v>
      </c>
      <c r="W358" s="6"/>
      <c r="X358" s="5" t="s">
        <v>1641</v>
      </c>
      <c r="Y358" s="7">
        <v>1</v>
      </c>
    </row>
    <row r="359" spans="1:25" x14ac:dyDescent="0.25">
      <c r="A359" s="8">
        <v>53</v>
      </c>
      <c r="B359" s="8" t="s">
        <v>25</v>
      </c>
      <c r="C359" s="9">
        <v>537001</v>
      </c>
      <c r="D359" s="10" t="s">
        <v>1642</v>
      </c>
      <c r="E359" s="8"/>
      <c r="F359" s="10"/>
      <c r="G359" s="8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>
        <v>5367</v>
      </c>
      <c r="V359" s="10" t="s">
        <v>83</v>
      </c>
      <c r="W359" s="11"/>
      <c r="X359" s="10" t="s">
        <v>1643</v>
      </c>
      <c r="Y359" s="12">
        <v>1</v>
      </c>
    </row>
    <row r="360" spans="1:25" x14ac:dyDescent="0.25">
      <c r="A360" s="3">
        <v>53</v>
      </c>
      <c r="B360" s="3" t="s">
        <v>25</v>
      </c>
      <c r="C360" s="4">
        <v>534810</v>
      </c>
      <c r="D360" s="5" t="s">
        <v>1644</v>
      </c>
      <c r="E360" s="3"/>
      <c r="F360" s="5"/>
      <c r="G360" s="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>
        <v>5346</v>
      </c>
      <c r="V360" s="5" t="s">
        <v>118</v>
      </c>
      <c r="W360" s="6"/>
      <c r="X360" s="5" t="s">
        <v>1645</v>
      </c>
      <c r="Y360" s="7">
        <v>1</v>
      </c>
    </row>
  </sheetData>
  <conditionalFormatting sqref="H1:I298 H300:I1048576 I2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TUẤN ÂU</dc:creator>
  <cp:lastModifiedBy>THÁI TUẤN ÂU</cp:lastModifiedBy>
  <dcterms:created xsi:type="dcterms:W3CDTF">2026-08-11T02:48:50Z</dcterms:created>
  <dcterms:modified xsi:type="dcterms:W3CDTF">2026-08-14T03:58:52Z</dcterms:modified>
</cp:coreProperties>
</file>